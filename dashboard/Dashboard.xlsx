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asurve/Desktop/Portfolio Projects/Insurance Complaints Process Improvement/Github/data/"/>
    </mc:Choice>
  </mc:AlternateContent>
  <xr:revisionPtr revIDLastSave="0" documentId="13_ncr:1_{701786D1-AA4E-9149-92B5-994FC2A1F7BB}" xr6:coauthVersionLast="47" xr6:coauthVersionMax="47" xr10:uidLastSave="{00000000-0000-0000-0000-000000000000}"/>
  <bookViews>
    <workbookView xWindow="28800" yWindow="-1000" windowWidth="38400" windowHeight="21000" activeTab="3" xr2:uid="{00000000-000D-0000-FFFF-FFFF00000000}"/>
  </bookViews>
  <sheets>
    <sheet name="Sheet7" sheetId="8" state="hidden" r:id="rId1"/>
    <sheet name="Sheet8" sheetId="9" state="hidden" r:id="rId2"/>
    <sheet name="Sheet9" sheetId="10" state="hidden" r:id="rId3"/>
    <sheet name="Dashboard" sheetId="6" r:id="rId4"/>
    <sheet name="Data_Quality_Checks" sheetId="3" r:id="rId5"/>
    <sheet name="KPI_Calculations" sheetId="4" r:id="rId6"/>
  </sheets>
  <externalReferences>
    <externalReference r:id="rId7"/>
  </externalReferences>
  <calcPr calcId="191029"/>
  <pivotCaches>
    <pivotCache cacheId="2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7" i="4"/>
  <c r="B2" i="4"/>
  <c r="B6" i="4"/>
  <c r="B3" i="4" l="1"/>
</calcChain>
</file>

<file path=xl/sharedStrings.xml><?xml version="1.0" encoding="utf-8"?>
<sst xmlns="http://schemas.openxmlformats.org/spreadsheetml/2006/main" count="60" uniqueCount="50">
  <si>
    <t>complaint_id</t>
  </si>
  <si>
    <t>date_received</t>
  </si>
  <si>
    <t>date_closed</t>
  </si>
  <si>
    <t>complaint_category</t>
  </si>
  <si>
    <t>rootcause</t>
  </si>
  <si>
    <t>sla_flag</t>
  </si>
  <si>
    <t>repeat_flag</t>
  </si>
  <si>
    <t>customer_notes</t>
  </si>
  <si>
    <t>Manual error</t>
  </si>
  <si>
    <t>System issue</t>
  </si>
  <si>
    <t>Training gap</t>
  </si>
  <si>
    <t>BILLING ISSUE</t>
  </si>
  <si>
    <t>Incomplete info</t>
  </si>
  <si>
    <t>Column Name</t>
  </si>
  <si>
    <t>Issue observed</t>
  </si>
  <si>
    <t>Impact</t>
  </si>
  <si>
    <t>Duplicate complaint IDs present</t>
  </si>
  <si>
    <t>May inflate complaint counts and KPIs</t>
  </si>
  <si>
    <t>No major issues observed</t>
  </si>
  <si>
    <t>Reliable for time-based analysis</t>
  </si>
  <si>
    <t>Missing values for open complaints</t>
  </si>
  <si>
    <t>Resolution time cannot be calculated for open complaints</t>
  </si>
  <si>
    <t>Inconsistent naming and casing</t>
  </si>
  <si>
    <t>Incorrect aggregation and misleading category analysis</t>
  </si>
  <si>
    <t>Missing and inconsistent values</t>
  </si>
  <si>
    <t>Limits root cause trend analysis</t>
  </si>
  <si>
    <t>SLA compliance metrics unreliable</t>
  </si>
  <si>
    <t>Inconsistent values (Yes, Y, blanks)</t>
  </si>
  <si>
    <t>Inconsistent values and blanks</t>
  </si>
  <si>
    <t>Repeat complaint rate inaccurate</t>
  </si>
  <si>
    <t>Free-text, unstructured data</t>
  </si>
  <si>
    <t>Not suitable for KPI calculations</t>
  </si>
  <si>
    <t>KPI Name</t>
  </si>
  <si>
    <t>KPI Value</t>
  </si>
  <si>
    <t>Total Complaints</t>
  </si>
  <si>
    <t>Open Complaints</t>
  </si>
  <si>
    <t>Closed Complaints</t>
  </si>
  <si>
    <t>Average Resolution Time (Days)</t>
  </si>
  <si>
    <t>SLA Compliance %</t>
  </si>
  <si>
    <t>Repeat Complaint Rate %</t>
  </si>
  <si>
    <t>Count of complaint_id</t>
  </si>
  <si>
    <t>Row Labels</t>
  </si>
  <si>
    <t>Grand Total</t>
  </si>
  <si>
    <t>Avg Resolution Time (Days)</t>
  </si>
  <si>
    <t>COMMUNICATION DELAY</t>
  </si>
  <si>
    <t>DOC ERROR</t>
  </si>
  <si>
    <t>DOCUMENTATION ERROR</t>
  </si>
  <si>
    <t>POLICY UPDATE</t>
  </si>
  <si>
    <t>SERVICE DELAY</t>
  </si>
  <si>
    <t>Customer Complaints &amp; Policy Servicing – Operations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</si>
</sst>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mmm\-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0" applyNumberFormat="1" applyAlignment="1">
      <alignment horizontal="left"/>
    </xf>
    <xf numFmtId="165" fontId="0" fillId="0" borderId="0" xfId="0" applyNumberFormat="1"/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1" xfId="0" applyNumberFormat="1" applyBorder="1"/>
    <xf numFmtId="10" fontId="0" fillId="0" borderId="1" xfId="1" applyNumberFormat="1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1">
    <dxf>
      <numFmt numFmtId="165" formatCode="0.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Sheet7!$A$4:$A$11</c:f>
              <c:strCache>
                <c:ptCount val="7"/>
                <c:pt idx="0">
                  <c:v>Oct-2024</c:v>
                </c:pt>
                <c:pt idx="1">
                  <c:v>Nov-2024</c:v>
                </c:pt>
                <c:pt idx="2">
                  <c:v>Dec-2024</c:v>
                </c:pt>
                <c:pt idx="3">
                  <c:v>Jan-2025</c:v>
                </c:pt>
                <c:pt idx="4">
                  <c:v>Feb-2025</c:v>
                </c:pt>
                <c:pt idx="5">
                  <c:v>Mar-2025</c:v>
                </c:pt>
                <c:pt idx="6">
                  <c:v>Apr-2025</c:v>
                </c:pt>
              </c:strCache>
            </c:strRef>
          </c:cat>
          <c:val>
            <c:numRef>
              <c:f>Sheet7!$B$4:$B$11</c:f>
              <c:numCache>
                <c:formatCode>General</c:formatCode>
                <c:ptCount val="7"/>
                <c:pt idx="0">
                  <c:v>69</c:v>
                </c:pt>
                <c:pt idx="1">
                  <c:v>79</c:v>
                </c:pt>
                <c:pt idx="2">
                  <c:v>68</c:v>
                </c:pt>
                <c:pt idx="3">
                  <c:v>78</c:v>
                </c:pt>
                <c:pt idx="4">
                  <c:v>77</c:v>
                </c:pt>
                <c:pt idx="5">
                  <c:v>78</c:v>
                </c:pt>
                <c:pt idx="6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1-1047-9347-FB36F805A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792959"/>
        <c:axId val="1404146943"/>
      </c:lineChart>
      <c:catAx>
        <c:axId val="124879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146943"/>
        <c:crosses val="autoZero"/>
        <c:auto val="1"/>
        <c:lblAlgn val="ctr"/>
        <c:lblOffset val="100"/>
        <c:noMultiLvlLbl val="0"/>
      </c:catAx>
      <c:valAx>
        <c:axId val="140414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79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[Dashboard.xlsx]Sheet8!PivotTable4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BILLING ISSUE</c:v>
                </c:pt>
                <c:pt idx="1">
                  <c:v>COMMUNICATION DELAY</c:v>
                </c:pt>
                <c:pt idx="2">
                  <c:v>POLICY UPDATE</c:v>
                </c:pt>
                <c:pt idx="3">
                  <c:v>DOC ERROR</c:v>
                </c:pt>
                <c:pt idx="4">
                  <c:v>DOCUMENTATION ERROR</c:v>
                </c:pt>
                <c:pt idx="5">
                  <c:v>SERVICE DELAY</c:v>
                </c:pt>
              </c:strCache>
            </c:strRef>
          </c:cat>
          <c:val>
            <c:numRef>
              <c:f>Sheet8!$B$4:$B$10</c:f>
              <c:numCache>
                <c:formatCode>General</c:formatCode>
                <c:ptCount val="6"/>
                <c:pt idx="0">
                  <c:v>145</c:v>
                </c:pt>
                <c:pt idx="1">
                  <c:v>104</c:v>
                </c:pt>
                <c:pt idx="2">
                  <c:v>94</c:v>
                </c:pt>
                <c:pt idx="3">
                  <c:v>56</c:v>
                </c:pt>
                <c:pt idx="4">
                  <c:v>53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3-0D43-8046-7FFC2FBEE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432959"/>
        <c:axId val="1294135551"/>
      </c:barChart>
      <c:catAx>
        <c:axId val="124143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35551"/>
        <c:crosses val="autoZero"/>
        <c:auto val="1"/>
        <c:lblAlgn val="ctr"/>
        <c:lblOffset val="100"/>
        <c:noMultiLvlLbl val="0"/>
      </c:catAx>
      <c:valAx>
        <c:axId val="129413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43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[Dashboard.xlsx]Sheet9!PivotTable5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912912794536479E-2"/>
              <c:y val="5.429306996281296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2142638928582E-2"/>
              <c:y val="1.2662862648861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505277265873686E-2"/>
              <c:y val="-4.05088752051309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4878243473633385E-2"/>
              <c:y val="2.42329985998403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EBE-7A4F-AAD0-F5E8033A50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BE-7A4F-AAD0-F5E8033A50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EBE-7A4F-AAD0-F5E8033A50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BE-7A4F-AAD0-F5E8033A50E5}"/>
              </c:ext>
            </c:extLst>
          </c:dPt>
          <c:dLbls>
            <c:dLbl>
              <c:idx val="0"/>
              <c:layout>
                <c:manualLayout>
                  <c:x val="1.8912912794536479E-2"/>
                  <c:y val="5.42930699628129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BE-7A4F-AAD0-F5E8033A50E5}"/>
                </c:ext>
              </c:extLst>
            </c:dLbl>
            <c:dLbl>
              <c:idx val="1"/>
              <c:layout>
                <c:manualLayout>
                  <c:x val="1.62142638928582E-2"/>
                  <c:y val="1.2662862648861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BE-7A4F-AAD0-F5E8033A50E5}"/>
                </c:ext>
              </c:extLst>
            </c:dLbl>
            <c:dLbl>
              <c:idx val="2"/>
              <c:layout>
                <c:manualLayout>
                  <c:x val="-6.6505277265873686E-2"/>
                  <c:y val="-4.0508875205130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BE-7A4F-AAD0-F5E8033A50E5}"/>
                </c:ext>
              </c:extLst>
            </c:dLbl>
            <c:dLbl>
              <c:idx val="3"/>
              <c:layout>
                <c:manualLayout>
                  <c:x val="-6.4878243473633385E-2"/>
                  <c:y val="2.4232998599840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BE-7A4F-AAD0-F5E8033A50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Sheet9!$A$4:$A$8</c:f>
              <c:strCache>
                <c:ptCount val="4"/>
                <c:pt idx="0">
                  <c:v>Incomplete info</c:v>
                </c:pt>
                <c:pt idx="1">
                  <c:v>Manual error</c:v>
                </c:pt>
                <c:pt idx="2">
                  <c:v>System issue</c:v>
                </c:pt>
                <c:pt idx="3">
                  <c:v>Training gap</c:v>
                </c:pt>
              </c:strCache>
            </c:strRef>
          </c:cat>
          <c:val>
            <c:numRef>
              <c:f>Sheet9!$B$4:$B$8</c:f>
              <c:numCache>
                <c:formatCode>0.0%</c:formatCode>
                <c:ptCount val="4"/>
                <c:pt idx="0">
                  <c:v>0.23142857142857143</c:v>
                </c:pt>
                <c:pt idx="1">
                  <c:v>0.21428571428571427</c:v>
                </c:pt>
                <c:pt idx="2">
                  <c:v>0.26</c:v>
                </c:pt>
                <c:pt idx="3">
                  <c:v>0.29428571428571426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E-7A4F-AAD0-F5E8033A5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[Dashboard.xlsx]Sheet7!PivotTable3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Complaint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 cmpd="sng" algn="ctr">
            <a:solidFill>
              <a:schemeClr val="accent2">
                <a:shade val="95000"/>
                <a:satMod val="105000"/>
              </a:schemeClr>
            </a:solidFill>
            <a:prstDash val="solid"/>
            <a:round/>
          </a:ln>
          <a:effectLst/>
        </c:spPr>
        <c:marker>
          <c:spPr>
            <a:solidFill>
              <a:schemeClr val="accent2"/>
            </a:soli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2"/>
              </a:soli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Sheet7!$A$4:$A$11</c:f>
              <c:strCache>
                <c:ptCount val="7"/>
                <c:pt idx="0">
                  <c:v>Oct-2024</c:v>
                </c:pt>
                <c:pt idx="1">
                  <c:v>Nov-2024</c:v>
                </c:pt>
                <c:pt idx="2">
                  <c:v>Dec-2024</c:v>
                </c:pt>
                <c:pt idx="3">
                  <c:v>Jan-2025</c:v>
                </c:pt>
                <c:pt idx="4">
                  <c:v>Feb-2025</c:v>
                </c:pt>
                <c:pt idx="5">
                  <c:v>Mar-2025</c:v>
                </c:pt>
                <c:pt idx="6">
                  <c:v>Apr-2025</c:v>
                </c:pt>
              </c:strCache>
            </c:strRef>
          </c:cat>
          <c:val>
            <c:numRef>
              <c:f>Sheet7!$B$4:$B$11</c:f>
              <c:numCache>
                <c:formatCode>General</c:formatCode>
                <c:ptCount val="7"/>
                <c:pt idx="0">
                  <c:v>69</c:v>
                </c:pt>
                <c:pt idx="1">
                  <c:v>79</c:v>
                </c:pt>
                <c:pt idx="2">
                  <c:v>68</c:v>
                </c:pt>
                <c:pt idx="3">
                  <c:v>78</c:v>
                </c:pt>
                <c:pt idx="4">
                  <c:v>77</c:v>
                </c:pt>
                <c:pt idx="5">
                  <c:v>78</c:v>
                </c:pt>
                <c:pt idx="6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9A-8A40-9D3C-00395F39B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792959"/>
        <c:axId val="1404146943"/>
      </c:lineChart>
      <c:catAx>
        <c:axId val="124879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146943"/>
        <c:crosses val="autoZero"/>
        <c:auto val="1"/>
        <c:lblAlgn val="ctr"/>
        <c:lblOffset val="100"/>
        <c:noMultiLvlLbl val="0"/>
      </c:catAx>
      <c:valAx>
        <c:axId val="140414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792959"/>
        <c:crosses val="autoZero"/>
        <c:crossBetween val="between"/>
      </c:valAx>
      <c:spPr>
        <a:solidFill>
          <a:schemeClr val="bg1"/>
        </a:solidFill>
        <a:ln>
          <a:solidFill>
            <a:schemeClr val="lt1">
              <a:shade val="50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[Dashboard.xlsx]Sheet8!PivotTable4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Complaints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BILLING ISSUE</c:v>
                </c:pt>
                <c:pt idx="1">
                  <c:v>COMMUNICATION DELAY</c:v>
                </c:pt>
                <c:pt idx="2">
                  <c:v>POLICY UPDATE</c:v>
                </c:pt>
                <c:pt idx="3">
                  <c:v>DOC ERROR</c:v>
                </c:pt>
                <c:pt idx="4">
                  <c:v>DOCUMENTATION ERROR</c:v>
                </c:pt>
                <c:pt idx="5">
                  <c:v>SERVICE DELAY</c:v>
                </c:pt>
              </c:strCache>
            </c:strRef>
          </c:cat>
          <c:val>
            <c:numRef>
              <c:f>Sheet8!$B$4:$B$10</c:f>
              <c:numCache>
                <c:formatCode>General</c:formatCode>
                <c:ptCount val="6"/>
                <c:pt idx="0">
                  <c:v>145</c:v>
                </c:pt>
                <c:pt idx="1">
                  <c:v>104</c:v>
                </c:pt>
                <c:pt idx="2">
                  <c:v>94</c:v>
                </c:pt>
                <c:pt idx="3">
                  <c:v>56</c:v>
                </c:pt>
                <c:pt idx="4">
                  <c:v>53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9-6D46-A210-6007862D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432959"/>
        <c:axId val="1294135551"/>
      </c:barChart>
      <c:catAx>
        <c:axId val="124143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35551"/>
        <c:crosses val="autoZero"/>
        <c:auto val="1"/>
        <c:lblAlgn val="ctr"/>
        <c:lblOffset val="100"/>
        <c:noMultiLvlLbl val="0"/>
      </c:catAx>
      <c:valAx>
        <c:axId val="129413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432959"/>
        <c:crosses val="autoZero"/>
        <c:crossBetween val="between"/>
      </c:valAx>
      <c:spPr>
        <a:noFill/>
        <a:ln>
          <a:solidFill>
            <a:schemeClr val="lt1">
              <a:shade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[Dashboard.xlsx]Sheet9!PivotTable5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Root Cause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912912794536479E-2"/>
              <c:y val="5.429306996281296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2142638928582E-2"/>
              <c:y val="1.2662862648861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505277265873686E-2"/>
              <c:y val="-4.05088752051309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4878243473633385E-2"/>
              <c:y val="2.42329985998403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912912794536479E-2"/>
              <c:y val="5.429306996281296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2142638928582E-2"/>
              <c:y val="1.2662862648861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505277265873686E-2"/>
              <c:y val="-4.05088752051309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4878243473633385E-2"/>
              <c:y val="2.42329985998403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912912794536479E-2"/>
              <c:y val="5.429306996281296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2142638928582E-2"/>
              <c:y val="1.2662862648861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tint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505277265873686E-2"/>
              <c:y val="-4.05088752051309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4878243473633385E-2"/>
              <c:y val="2.42329985998403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C6-6642-8CB8-576E6A4E0224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C6-6642-8CB8-576E6A4E0224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C6-6642-8CB8-576E6A4E0224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C6-6642-8CB8-576E6A4E0224}"/>
              </c:ext>
            </c:extLst>
          </c:dPt>
          <c:dLbls>
            <c:dLbl>
              <c:idx val="0"/>
              <c:layout>
                <c:manualLayout>
                  <c:x val="1.8912912794536479E-2"/>
                  <c:y val="5.42930699628129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C6-6642-8CB8-576E6A4E0224}"/>
                </c:ext>
              </c:extLst>
            </c:dLbl>
            <c:dLbl>
              <c:idx val="1"/>
              <c:layout>
                <c:manualLayout>
                  <c:x val="1.62142638928582E-2"/>
                  <c:y val="1.2662862648861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C6-6642-8CB8-576E6A4E0224}"/>
                </c:ext>
              </c:extLst>
            </c:dLbl>
            <c:dLbl>
              <c:idx val="2"/>
              <c:layout>
                <c:manualLayout>
                  <c:x val="-6.6505277265873686E-2"/>
                  <c:y val="-4.0508875205130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C6-6642-8CB8-576E6A4E0224}"/>
                </c:ext>
              </c:extLst>
            </c:dLbl>
            <c:dLbl>
              <c:idx val="3"/>
              <c:layout>
                <c:manualLayout>
                  <c:x val="-6.4878243473633385E-2"/>
                  <c:y val="2.4232998599840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C6-6642-8CB8-576E6A4E0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Sheet9!$A$4:$A$8</c:f>
              <c:strCache>
                <c:ptCount val="4"/>
                <c:pt idx="0">
                  <c:v>Incomplete info</c:v>
                </c:pt>
                <c:pt idx="1">
                  <c:v>Manual error</c:v>
                </c:pt>
                <c:pt idx="2">
                  <c:v>System issue</c:v>
                </c:pt>
                <c:pt idx="3">
                  <c:v>Training gap</c:v>
                </c:pt>
              </c:strCache>
            </c:strRef>
          </c:cat>
          <c:val>
            <c:numRef>
              <c:f>Sheet9!$B$4:$B$8</c:f>
              <c:numCache>
                <c:formatCode>0.0%</c:formatCode>
                <c:ptCount val="4"/>
                <c:pt idx="0">
                  <c:v>0.23142857142857143</c:v>
                </c:pt>
                <c:pt idx="1">
                  <c:v>0.21428571428571427</c:v>
                </c:pt>
                <c:pt idx="2">
                  <c:v>0.26</c:v>
                </c:pt>
                <c:pt idx="3">
                  <c:v>0.29428571428571426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C6-6642-8CB8-576E6A4E0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19</xdr:row>
      <xdr:rowOff>44450</xdr:rowOff>
    </xdr:from>
    <xdr:to>
      <xdr:col>14</xdr:col>
      <xdr:colOff>95250</xdr:colOff>
      <xdr:row>33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DEBADC-1F4C-7864-0959-39DAF7DEF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19</xdr:row>
      <xdr:rowOff>44450</xdr:rowOff>
    </xdr:from>
    <xdr:to>
      <xdr:col>13</xdr:col>
      <xdr:colOff>533400</xdr:colOff>
      <xdr:row>35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700297-CA2A-8334-7EF4-CB6C32966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19</xdr:row>
      <xdr:rowOff>44450</xdr:rowOff>
    </xdr:from>
    <xdr:to>
      <xdr:col>14</xdr:col>
      <xdr:colOff>520700</xdr:colOff>
      <xdr:row>36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3E4D5-C4A9-6F23-7893-C89A21FC4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116418</xdr:rowOff>
    </xdr:from>
    <xdr:to>
      <xdr:col>5</xdr:col>
      <xdr:colOff>2031999</xdr:colOff>
      <xdr:row>32</xdr:row>
      <xdr:rowOff>42333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6791B8-E7EB-1A40-B2C1-5D2EEF9C4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10584</xdr:rowOff>
    </xdr:from>
    <xdr:to>
      <xdr:col>3</xdr:col>
      <xdr:colOff>804333</xdr:colOff>
      <xdr:row>16</xdr:row>
      <xdr:rowOff>105834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91594A-E36E-7047-8243-37775715D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814916</xdr:colOff>
      <xdr:row>2</xdr:row>
      <xdr:rowOff>10582</xdr:rowOff>
    </xdr:from>
    <xdr:to>
      <xdr:col>5</xdr:col>
      <xdr:colOff>2021416</xdr:colOff>
      <xdr:row>16</xdr:row>
      <xdr:rowOff>105833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8B1753-6FD2-E048-93A7-0EB7D3332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52917</xdr:rowOff>
    </xdr:from>
    <xdr:to>
      <xdr:col>5</xdr:col>
      <xdr:colOff>2031999</xdr:colOff>
      <xdr:row>33</xdr:row>
      <xdr:rowOff>179917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6FB13B0-01D2-3A72-B6A9-2C689A7FBEB2}"/>
            </a:ext>
          </a:extLst>
        </xdr:cNvPr>
        <xdr:cNvSpPr txBox="1"/>
      </xdr:nvSpPr>
      <xdr:spPr>
        <a:xfrm>
          <a:off x="0" y="6572250"/>
          <a:ext cx="11641666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0"/>
            <a:t>Note: Metrics based on operational complaint data. Open complaints are excluded from resolution time calculations.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urve/Desktop/Portfolio%20Projects/Insurance%20Complaints%20Process%20Improvement/Github/data/Cleaned_data.xlsx" TargetMode="External"/><Relationship Id="rId1" Type="http://schemas.openxmlformats.org/officeDocument/2006/relationships/externalLinkPath" Target="Cleane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leaned_Data"/>
    </sheetNames>
    <sheetDataSet>
      <sheetData sheetId="0" refreshError="1"/>
      <sheetData sheetId="1">
        <row r="1">
          <cell r="H1" t="str">
            <v>sla_met_clean</v>
          </cell>
          <cell r="J1" t="str">
            <v>repeat_complaint_clean</v>
          </cell>
          <cell r="L1" t="str">
            <v>is_open_complaint</v>
          </cell>
          <cell r="M1" t="str">
            <v>resolution_time_days</v>
          </cell>
        </row>
        <row r="2">
          <cell r="A2" t="str">
            <v>CMP-1293</v>
          </cell>
          <cell r="H2" t="str">
            <v>No</v>
          </cell>
          <cell r="J2" t="str">
            <v>No</v>
          </cell>
          <cell r="L2" t="str">
            <v>No</v>
          </cell>
          <cell r="M2">
            <v>1</v>
          </cell>
        </row>
        <row r="3">
          <cell r="A3" t="str">
            <v>CMP-1080</v>
          </cell>
          <cell r="H3" t="str">
            <v>Yes</v>
          </cell>
          <cell r="J3" t="str">
            <v>Yes</v>
          </cell>
          <cell r="L3" t="str">
            <v>No</v>
          </cell>
          <cell r="M3">
            <v>19</v>
          </cell>
        </row>
        <row r="4">
          <cell r="A4" t="str">
            <v>CMP-1106</v>
          </cell>
          <cell r="H4" t="str">
            <v>Yes</v>
          </cell>
          <cell r="J4" t="str">
            <v>Yes</v>
          </cell>
          <cell r="L4" t="str">
            <v>No</v>
          </cell>
          <cell r="M4">
            <v>9</v>
          </cell>
        </row>
        <row r="5">
          <cell r="A5" t="str">
            <v>CMP-1150</v>
          </cell>
          <cell r="H5" t="str">
            <v>No</v>
          </cell>
          <cell r="J5" t="str">
            <v>No</v>
          </cell>
          <cell r="L5" t="str">
            <v>No</v>
          </cell>
          <cell r="M5">
            <v>16</v>
          </cell>
        </row>
        <row r="6">
          <cell r="A6" t="str">
            <v>CMP-1293</v>
          </cell>
          <cell r="H6" t="str">
            <v>No</v>
          </cell>
          <cell r="J6" t="str">
            <v>No</v>
          </cell>
          <cell r="L6" t="str">
            <v>No</v>
          </cell>
          <cell r="M6">
            <v>9</v>
          </cell>
        </row>
        <row r="7">
          <cell r="A7" t="str">
            <v>CMP-1074</v>
          </cell>
          <cell r="H7" t="str">
            <v>No</v>
          </cell>
          <cell r="J7" t="str">
            <v>No</v>
          </cell>
          <cell r="L7" t="str">
            <v>No</v>
          </cell>
          <cell r="M7">
            <v>17</v>
          </cell>
        </row>
        <row r="8">
          <cell r="A8" t="str">
            <v>CMP-1161</v>
          </cell>
          <cell r="H8" t="str">
            <v>No</v>
          </cell>
          <cell r="J8" t="str">
            <v>No</v>
          </cell>
          <cell r="L8" t="str">
            <v>No</v>
          </cell>
          <cell r="M8">
            <v>5</v>
          </cell>
        </row>
        <row r="9">
          <cell r="A9" t="str">
            <v>CMP-1027</v>
          </cell>
          <cell r="H9" t="str">
            <v>No</v>
          </cell>
          <cell r="J9" t="str">
            <v>Yes</v>
          </cell>
          <cell r="L9" t="str">
            <v>No</v>
          </cell>
          <cell r="M9">
            <v>10</v>
          </cell>
        </row>
        <row r="10">
          <cell r="A10" t="str">
            <v>CMP-1008</v>
          </cell>
          <cell r="H10" t="str">
            <v>Yes</v>
          </cell>
          <cell r="J10" t="str">
            <v>Yes</v>
          </cell>
          <cell r="L10" t="str">
            <v>No</v>
          </cell>
          <cell r="M10">
            <v>13</v>
          </cell>
        </row>
        <row r="11">
          <cell r="A11" t="str">
            <v>CMP-1147</v>
          </cell>
          <cell r="H11" t="str">
            <v>No</v>
          </cell>
          <cell r="J11" t="str">
            <v>No</v>
          </cell>
          <cell r="L11" t="str">
            <v>No</v>
          </cell>
          <cell r="M11">
            <v>9</v>
          </cell>
        </row>
        <row r="12">
          <cell r="A12" t="str">
            <v>CMP-1117</v>
          </cell>
          <cell r="H12" t="str">
            <v>No</v>
          </cell>
          <cell r="J12" t="str">
            <v>Yes</v>
          </cell>
          <cell r="L12" t="str">
            <v>Yes</v>
          </cell>
          <cell r="M12" t="str">
            <v/>
          </cell>
        </row>
        <row r="13">
          <cell r="A13" t="str">
            <v>CMP-1260</v>
          </cell>
          <cell r="H13" t="str">
            <v>Yes</v>
          </cell>
          <cell r="J13" t="str">
            <v>No</v>
          </cell>
          <cell r="L13" t="str">
            <v>No</v>
          </cell>
          <cell r="M13">
            <v>1</v>
          </cell>
        </row>
        <row r="14">
          <cell r="A14" t="str">
            <v>CMP-1201</v>
          </cell>
          <cell r="H14" t="str">
            <v>No</v>
          </cell>
          <cell r="J14" t="str">
            <v>No</v>
          </cell>
          <cell r="L14" t="str">
            <v>No</v>
          </cell>
          <cell r="M14">
            <v>9</v>
          </cell>
        </row>
        <row r="15">
          <cell r="A15" t="str">
            <v>CMP-1088</v>
          </cell>
          <cell r="H15" t="str">
            <v>No</v>
          </cell>
          <cell r="J15" t="str">
            <v>No</v>
          </cell>
          <cell r="L15" t="str">
            <v>No</v>
          </cell>
          <cell r="M15">
            <v>2</v>
          </cell>
        </row>
        <row r="16">
          <cell r="A16" t="str">
            <v>CMP-1089</v>
          </cell>
          <cell r="H16" t="str">
            <v>No</v>
          </cell>
          <cell r="J16" t="str">
            <v>No</v>
          </cell>
          <cell r="L16" t="str">
            <v>No</v>
          </cell>
          <cell r="M16">
            <v>15</v>
          </cell>
        </row>
        <row r="17">
          <cell r="A17" t="str">
            <v>CMP-1163</v>
          </cell>
          <cell r="H17" t="str">
            <v>No</v>
          </cell>
          <cell r="J17" t="str">
            <v>Yes</v>
          </cell>
          <cell r="L17" t="str">
            <v>Yes</v>
          </cell>
          <cell r="M17" t="str">
            <v/>
          </cell>
        </row>
        <row r="18">
          <cell r="A18" t="str">
            <v>CMP-1212</v>
          </cell>
          <cell r="H18" t="str">
            <v>No</v>
          </cell>
          <cell r="J18" t="str">
            <v>No</v>
          </cell>
          <cell r="L18" t="str">
            <v>No</v>
          </cell>
          <cell r="M18">
            <v>13</v>
          </cell>
        </row>
        <row r="19">
          <cell r="A19" t="str">
            <v>CMP-1231</v>
          </cell>
          <cell r="H19" t="str">
            <v>No</v>
          </cell>
          <cell r="J19" t="str">
            <v>No</v>
          </cell>
          <cell r="L19" t="str">
            <v>No</v>
          </cell>
          <cell r="M19">
            <v>20</v>
          </cell>
        </row>
        <row r="20">
          <cell r="A20" t="str">
            <v>CMP-1037</v>
          </cell>
          <cell r="H20" t="str">
            <v>Yes</v>
          </cell>
          <cell r="J20" t="str">
            <v>Yes</v>
          </cell>
          <cell r="L20" t="str">
            <v>No</v>
          </cell>
          <cell r="M20">
            <v>5</v>
          </cell>
        </row>
        <row r="21">
          <cell r="A21" t="str">
            <v>CMP-1125</v>
          </cell>
          <cell r="H21" t="str">
            <v>No</v>
          </cell>
          <cell r="J21" t="str">
            <v>Yes</v>
          </cell>
          <cell r="L21" t="str">
            <v>No</v>
          </cell>
          <cell r="M21">
            <v>13</v>
          </cell>
        </row>
        <row r="22">
          <cell r="A22" t="str">
            <v>CMP-1280</v>
          </cell>
          <cell r="H22" t="str">
            <v>Yes</v>
          </cell>
          <cell r="J22" t="str">
            <v>Yes</v>
          </cell>
          <cell r="L22" t="str">
            <v>No</v>
          </cell>
          <cell r="M22">
            <v>19</v>
          </cell>
        </row>
        <row r="23">
          <cell r="A23" t="str">
            <v>CMP-1103</v>
          </cell>
          <cell r="H23" t="str">
            <v>Yes</v>
          </cell>
          <cell r="J23" t="str">
            <v>Yes</v>
          </cell>
          <cell r="L23" t="str">
            <v>No</v>
          </cell>
          <cell r="M23">
            <v>11</v>
          </cell>
        </row>
        <row r="24">
          <cell r="A24" t="str">
            <v>CMP-1213</v>
          </cell>
          <cell r="H24" t="str">
            <v>Yes</v>
          </cell>
          <cell r="J24" t="str">
            <v>No</v>
          </cell>
          <cell r="L24" t="str">
            <v>No</v>
          </cell>
          <cell r="M24">
            <v>13</v>
          </cell>
        </row>
        <row r="25">
          <cell r="A25" t="str">
            <v>CMP-1076</v>
          </cell>
          <cell r="H25" t="str">
            <v>Yes</v>
          </cell>
          <cell r="J25" t="str">
            <v>Yes</v>
          </cell>
          <cell r="L25" t="str">
            <v>No</v>
          </cell>
          <cell r="M25">
            <v>8</v>
          </cell>
        </row>
        <row r="26">
          <cell r="A26" t="str">
            <v>CMP-1088</v>
          </cell>
          <cell r="H26" t="str">
            <v>No</v>
          </cell>
          <cell r="J26" t="str">
            <v>Yes</v>
          </cell>
          <cell r="L26" t="str">
            <v>No</v>
          </cell>
          <cell r="M26">
            <v>19</v>
          </cell>
        </row>
        <row r="27">
          <cell r="A27" t="str">
            <v>CMP-1269</v>
          </cell>
          <cell r="H27" t="str">
            <v>No</v>
          </cell>
          <cell r="J27" t="str">
            <v>Yes</v>
          </cell>
          <cell r="L27" t="str">
            <v>No</v>
          </cell>
          <cell r="M27">
            <v>19</v>
          </cell>
        </row>
        <row r="28">
          <cell r="A28" t="str">
            <v>CMP-1239</v>
          </cell>
          <cell r="H28" t="str">
            <v>No</v>
          </cell>
          <cell r="J28" t="str">
            <v>No</v>
          </cell>
          <cell r="L28" t="str">
            <v>No</v>
          </cell>
          <cell r="M28">
            <v>18</v>
          </cell>
        </row>
        <row r="29">
          <cell r="A29" t="str">
            <v>CMP-1243</v>
          </cell>
          <cell r="H29" t="str">
            <v>No</v>
          </cell>
          <cell r="J29" t="str">
            <v>No</v>
          </cell>
          <cell r="L29" t="str">
            <v>No</v>
          </cell>
          <cell r="M29">
            <v>20</v>
          </cell>
        </row>
        <row r="30">
          <cell r="A30" t="str">
            <v>CMP-1074</v>
          </cell>
          <cell r="H30" t="str">
            <v>No</v>
          </cell>
          <cell r="J30" t="str">
            <v>No</v>
          </cell>
          <cell r="L30" t="str">
            <v>No</v>
          </cell>
          <cell r="M30">
            <v>13</v>
          </cell>
        </row>
        <row r="31">
          <cell r="A31" t="str">
            <v>CMP-1263</v>
          </cell>
          <cell r="H31" t="str">
            <v>No</v>
          </cell>
          <cell r="J31" t="str">
            <v>No</v>
          </cell>
          <cell r="L31" t="str">
            <v>No</v>
          </cell>
          <cell r="M31">
            <v>20</v>
          </cell>
        </row>
        <row r="32">
          <cell r="A32" t="str">
            <v>CMP-1147</v>
          </cell>
          <cell r="H32" t="str">
            <v>No</v>
          </cell>
          <cell r="J32" t="str">
            <v>No</v>
          </cell>
          <cell r="L32" t="str">
            <v>No</v>
          </cell>
          <cell r="M32">
            <v>1</v>
          </cell>
        </row>
        <row r="33">
          <cell r="A33" t="str">
            <v>CMP-1146</v>
          </cell>
          <cell r="H33" t="str">
            <v>Yes</v>
          </cell>
          <cell r="J33" t="str">
            <v>Yes</v>
          </cell>
          <cell r="L33" t="str">
            <v>Yes</v>
          </cell>
          <cell r="M33" t="str">
            <v/>
          </cell>
        </row>
        <row r="34">
          <cell r="A34" t="str">
            <v>CMP-1212</v>
          </cell>
          <cell r="H34" t="str">
            <v>No</v>
          </cell>
          <cell r="J34" t="str">
            <v>No</v>
          </cell>
          <cell r="L34" t="str">
            <v>No</v>
          </cell>
          <cell r="M34">
            <v>17</v>
          </cell>
        </row>
        <row r="35">
          <cell r="A35" t="str">
            <v>CMP-1171</v>
          </cell>
          <cell r="H35" t="str">
            <v>Yes</v>
          </cell>
          <cell r="J35" t="str">
            <v>No</v>
          </cell>
          <cell r="L35" t="str">
            <v>Yes</v>
          </cell>
          <cell r="M35" t="str">
            <v/>
          </cell>
        </row>
        <row r="36">
          <cell r="A36" t="str">
            <v>CMP-1109</v>
          </cell>
          <cell r="H36" t="str">
            <v>No</v>
          </cell>
          <cell r="J36" t="str">
            <v>Yes</v>
          </cell>
          <cell r="L36" t="str">
            <v>No</v>
          </cell>
          <cell r="M36">
            <v>3</v>
          </cell>
        </row>
        <row r="37">
          <cell r="A37" t="str">
            <v>CMP-1064</v>
          </cell>
          <cell r="H37" t="str">
            <v>Yes</v>
          </cell>
          <cell r="J37" t="str">
            <v>No</v>
          </cell>
          <cell r="L37" t="str">
            <v>Yes</v>
          </cell>
          <cell r="M37" t="str">
            <v/>
          </cell>
        </row>
        <row r="38">
          <cell r="A38" t="str">
            <v>CMP-1249</v>
          </cell>
          <cell r="H38" t="str">
            <v>No</v>
          </cell>
          <cell r="J38" t="str">
            <v>No</v>
          </cell>
          <cell r="L38" t="str">
            <v>No</v>
          </cell>
          <cell r="M38">
            <v>3</v>
          </cell>
        </row>
        <row r="39">
          <cell r="A39" t="str">
            <v>CMP-1149</v>
          </cell>
          <cell r="H39" t="str">
            <v>No</v>
          </cell>
          <cell r="J39" t="str">
            <v>No</v>
          </cell>
          <cell r="L39" t="str">
            <v>No</v>
          </cell>
          <cell r="M39">
            <v>2</v>
          </cell>
        </row>
        <row r="40">
          <cell r="A40" t="str">
            <v>CMP-1290</v>
          </cell>
          <cell r="H40" t="str">
            <v>No</v>
          </cell>
          <cell r="J40" t="str">
            <v>Yes</v>
          </cell>
          <cell r="L40" t="str">
            <v>No</v>
          </cell>
          <cell r="M40">
            <v>8</v>
          </cell>
        </row>
        <row r="41">
          <cell r="A41" t="str">
            <v>CMP-1284</v>
          </cell>
          <cell r="H41" t="str">
            <v>No</v>
          </cell>
          <cell r="J41" t="str">
            <v>Yes</v>
          </cell>
          <cell r="L41" t="str">
            <v>No</v>
          </cell>
          <cell r="M41">
            <v>1</v>
          </cell>
        </row>
        <row r="42">
          <cell r="A42" t="str">
            <v>CMP-1228</v>
          </cell>
          <cell r="H42" t="str">
            <v>No</v>
          </cell>
          <cell r="J42" t="str">
            <v>Yes</v>
          </cell>
          <cell r="L42" t="str">
            <v>No</v>
          </cell>
          <cell r="M42">
            <v>8</v>
          </cell>
        </row>
        <row r="43">
          <cell r="A43" t="str">
            <v>CMP-1116</v>
          </cell>
          <cell r="H43" t="str">
            <v>Yes</v>
          </cell>
          <cell r="J43" t="str">
            <v>No</v>
          </cell>
          <cell r="L43" t="str">
            <v>Yes</v>
          </cell>
          <cell r="M43" t="str">
            <v/>
          </cell>
        </row>
        <row r="44">
          <cell r="A44" t="str">
            <v>CMP-1292</v>
          </cell>
          <cell r="H44" t="str">
            <v>Yes</v>
          </cell>
          <cell r="J44" t="str">
            <v>No</v>
          </cell>
          <cell r="L44" t="str">
            <v>No</v>
          </cell>
          <cell r="M44">
            <v>10</v>
          </cell>
        </row>
        <row r="45">
          <cell r="A45" t="str">
            <v>CMP-1278</v>
          </cell>
          <cell r="H45" t="str">
            <v>No</v>
          </cell>
          <cell r="J45" t="str">
            <v>No</v>
          </cell>
          <cell r="L45" t="str">
            <v>Yes</v>
          </cell>
          <cell r="M45" t="str">
            <v/>
          </cell>
        </row>
        <row r="46">
          <cell r="A46" t="str">
            <v>CMP-1195</v>
          </cell>
          <cell r="H46" t="str">
            <v>Yes</v>
          </cell>
          <cell r="J46" t="str">
            <v>Yes</v>
          </cell>
          <cell r="L46" t="str">
            <v>No</v>
          </cell>
          <cell r="M46">
            <v>17</v>
          </cell>
        </row>
        <row r="47">
          <cell r="A47" t="str">
            <v>CMP-1227</v>
          </cell>
          <cell r="H47" t="str">
            <v>Yes</v>
          </cell>
          <cell r="J47" t="str">
            <v>Yes</v>
          </cell>
          <cell r="L47" t="str">
            <v>No</v>
          </cell>
          <cell r="M47">
            <v>1</v>
          </cell>
        </row>
        <row r="48">
          <cell r="A48" t="str">
            <v>CMP-1189</v>
          </cell>
          <cell r="H48" t="str">
            <v>Yes</v>
          </cell>
          <cell r="J48" t="str">
            <v>No</v>
          </cell>
          <cell r="L48" t="str">
            <v>No</v>
          </cell>
          <cell r="M48">
            <v>5</v>
          </cell>
        </row>
        <row r="49">
          <cell r="A49" t="str">
            <v>CMP-1104</v>
          </cell>
          <cell r="H49" t="str">
            <v>No</v>
          </cell>
          <cell r="J49" t="str">
            <v>No</v>
          </cell>
          <cell r="L49" t="str">
            <v>No</v>
          </cell>
          <cell r="M49">
            <v>2</v>
          </cell>
        </row>
        <row r="50">
          <cell r="A50" t="str">
            <v>CMP-1099</v>
          </cell>
          <cell r="H50" t="str">
            <v>No</v>
          </cell>
          <cell r="J50" t="str">
            <v>Yes</v>
          </cell>
          <cell r="L50" t="str">
            <v>Yes</v>
          </cell>
          <cell r="M50" t="str">
            <v/>
          </cell>
        </row>
        <row r="51">
          <cell r="A51" t="str">
            <v>CMP-1263</v>
          </cell>
          <cell r="H51" t="str">
            <v>No</v>
          </cell>
          <cell r="J51" t="str">
            <v>Yes</v>
          </cell>
          <cell r="L51" t="str">
            <v>No</v>
          </cell>
          <cell r="M51">
            <v>2</v>
          </cell>
        </row>
        <row r="52">
          <cell r="A52" t="str">
            <v>CMP-1294</v>
          </cell>
          <cell r="H52" t="str">
            <v>No</v>
          </cell>
          <cell r="J52" t="str">
            <v>No</v>
          </cell>
          <cell r="L52" t="str">
            <v>Yes</v>
          </cell>
          <cell r="M52" t="str">
            <v/>
          </cell>
        </row>
        <row r="53">
          <cell r="A53" t="str">
            <v>CMP-1003</v>
          </cell>
          <cell r="H53" t="str">
            <v>Yes</v>
          </cell>
          <cell r="J53" t="str">
            <v>No</v>
          </cell>
          <cell r="L53" t="str">
            <v>No</v>
          </cell>
          <cell r="M53">
            <v>18</v>
          </cell>
        </row>
        <row r="54">
          <cell r="A54" t="str">
            <v>CMP-1256</v>
          </cell>
          <cell r="H54" t="str">
            <v>Yes</v>
          </cell>
          <cell r="J54" t="str">
            <v>No</v>
          </cell>
          <cell r="L54" t="str">
            <v>No</v>
          </cell>
          <cell r="M54">
            <v>12</v>
          </cell>
        </row>
        <row r="55">
          <cell r="A55" t="str">
            <v>CMP-1163</v>
          </cell>
          <cell r="H55" t="str">
            <v>No</v>
          </cell>
          <cell r="J55" t="str">
            <v>Yes</v>
          </cell>
          <cell r="L55" t="str">
            <v>No</v>
          </cell>
          <cell r="M55">
            <v>11</v>
          </cell>
        </row>
        <row r="56">
          <cell r="A56" t="str">
            <v>CMP-1029</v>
          </cell>
          <cell r="H56" t="str">
            <v>No</v>
          </cell>
          <cell r="J56" t="str">
            <v>No</v>
          </cell>
          <cell r="L56" t="str">
            <v>No</v>
          </cell>
          <cell r="M56">
            <v>1</v>
          </cell>
        </row>
        <row r="57">
          <cell r="A57" t="str">
            <v>CMP-1029</v>
          </cell>
          <cell r="H57" t="str">
            <v>Yes</v>
          </cell>
          <cell r="J57" t="str">
            <v>Yes</v>
          </cell>
          <cell r="L57" t="str">
            <v>Yes</v>
          </cell>
          <cell r="M57" t="str">
            <v/>
          </cell>
        </row>
        <row r="58">
          <cell r="A58" t="str">
            <v>CMP-1158</v>
          </cell>
          <cell r="H58" t="str">
            <v>No</v>
          </cell>
          <cell r="J58" t="str">
            <v>No</v>
          </cell>
          <cell r="L58" t="str">
            <v>No</v>
          </cell>
          <cell r="M58">
            <v>17</v>
          </cell>
        </row>
        <row r="59">
          <cell r="A59" t="str">
            <v>CMP-1166</v>
          </cell>
          <cell r="H59" t="str">
            <v>No</v>
          </cell>
          <cell r="J59" t="str">
            <v>No</v>
          </cell>
          <cell r="L59" t="str">
            <v>No</v>
          </cell>
          <cell r="M59">
            <v>13</v>
          </cell>
        </row>
        <row r="60">
          <cell r="A60" t="str">
            <v>CMP-1288</v>
          </cell>
          <cell r="H60" t="str">
            <v>Yes</v>
          </cell>
          <cell r="J60" t="str">
            <v>Yes</v>
          </cell>
          <cell r="L60" t="str">
            <v>No</v>
          </cell>
          <cell r="M60">
            <v>20</v>
          </cell>
        </row>
        <row r="61">
          <cell r="A61" t="str">
            <v>CMP-1210</v>
          </cell>
          <cell r="H61" t="str">
            <v>No</v>
          </cell>
          <cell r="J61" t="str">
            <v>No</v>
          </cell>
          <cell r="L61" t="str">
            <v>No</v>
          </cell>
          <cell r="M61">
            <v>18</v>
          </cell>
        </row>
        <row r="62">
          <cell r="A62" t="str">
            <v>CMP-1179</v>
          </cell>
          <cell r="H62" t="str">
            <v>No</v>
          </cell>
          <cell r="J62" t="str">
            <v>No</v>
          </cell>
          <cell r="L62" t="str">
            <v>No</v>
          </cell>
          <cell r="M62">
            <v>16</v>
          </cell>
        </row>
        <row r="63">
          <cell r="A63" t="str">
            <v>CMP-1038</v>
          </cell>
          <cell r="H63" t="str">
            <v>No</v>
          </cell>
          <cell r="J63" t="str">
            <v>No</v>
          </cell>
          <cell r="L63" t="str">
            <v>No</v>
          </cell>
          <cell r="M63">
            <v>1</v>
          </cell>
        </row>
        <row r="64">
          <cell r="A64" t="str">
            <v>CMP-1171</v>
          </cell>
          <cell r="H64" t="str">
            <v>No</v>
          </cell>
          <cell r="J64" t="str">
            <v>No</v>
          </cell>
          <cell r="L64" t="str">
            <v>No</v>
          </cell>
          <cell r="M64">
            <v>4</v>
          </cell>
        </row>
        <row r="65">
          <cell r="A65" t="str">
            <v>CMP-1266</v>
          </cell>
          <cell r="H65" t="str">
            <v>No</v>
          </cell>
          <cell r="J65" t="str">
            <v>No</v>
          </cell>
          <cell r="L65" t="str">
            <v>Yes</v>
          </cell>
          <cell r="M65" t="str">
            <v/>
          </cell>
        </row>
        <row r="66">
          <cell r="A66" t="str">
            <v>CMP-1041</v>
          </cell>
          <cell r="H66" t="str">
            <v>Yes</v>
          </cell>
          <cell r="J66" t="str">
            <v>No</v>
          </cell>
          <cell r="L66" t="str">
            <v>No</v>
          </cell>
          <cell r="M66">
            <v>7</v>
          </cell>
        </row>
        <row r="67">
          <cell r="A67" t="str">
            <v>CMP-1129</v>
          </cell>
          <cell r="H67" t="str">
            <v>Yes</v>
          </cell>
          <cell r="J67" t="str">
            <v>No</v>
          </cell>
          <cell r="L67" t="str">
            <v>No</v>
          </cell>
          <cell r="M67">
            <v>12</v>
          </cell>
        </row>
        <row r="68">
          <cell r="A68" t="str">
            <v>CMP-1260</v>
          </cell>
          <cell r="H68" t="str">
            <v>No</v>
          </cell>
          <cell r="J68" t="str">
            <v>No</v>
          </cell>
          <cell r="L68" t="str">
            <v>No</v>
          </cell>
          <cell r="M68">
            <v>9</v>
          </cell>
        </row>
        <row r="69">
          <cell r="A69" t="str">
            <v>CMP-1092</v>
          </cell>
          <cell r="H69" t="str">
            <v>Yes</v>
          </cell>
          <cell r="J69" t="str">
            <v>No</v>
          </cell>
          <cell r="L69" t="str">
            <v>No</v>
          </cell>
          <cell r="M69">
            <v>18</v>
          </cell>
        </row>
        <row r="70">
          <cell r="A70" t="str">
            <v>CMP-1191</v>
          </cell>
          <cell r="H70" t="str">
            <v>Yes</v>
          </cell>
          <cell r="J70" t="str">
            <v>No</v>
          </cell>
          <cell r="L70" t="str">
            <v>No</v>
          </cell>
          <cell r="M70">
            <v>12</v>
          </cell>
        </row>
        <row r="71">
          <cell r="A71" t="str">
            <v>CMP-1181</v>
          </cell>
          <cell r="H71" t="str">
            <v>No</v>
          </cell>
          <cell r="J71" t="str">
            <v>Yes</v>
          </cell>
          <cell r="L71" t="str">
            <v>No</v>
          </cell>
          <cell r="M71">
            <v>9</v>
          </cell>
        </row>
        <row r="72">
          <cell r="A72" t="str">
            <v>CMP-1195</v>
          </cell>
          <cell r="H72" t="str">
            <v>No</v>
          </cell>
          <cell r="J72" t="str">
            <v>No</v>
          </cell>
          <cell r="L72" t="str">
            <v>No</v>
          </cell>
          <cell r="M72">
            <v>2</v>
          </cell>
        </row>
        <row r="73">
          <cell r="A73" t="str">
            <v>CMP-1211</v>
          </cell>
          <cell r="H73" t="str">
            <v>Yes</v>
          </cell>
          <cell r="J73" t="str">
            <v>No</v>
          </cell>
          <cell r="L73" t="str">
            <v>No</v>
          </cell>
          <cell r="M73">
            <v>17</v>
          </cell>
        </row>
        <row r="74">
          <cell r="A74" t="str">
            <v>CMP-1124</v>
          </cell>
          <cell r="H74" t="str">
            <v>No</v>
          </cell>
          <cell r="J74" t="str">
            <v>Yes</v>
          </cell>
          <cell r="L74" t="str">
            <v>No</v>
          </cell>
          <cell r="M74">
            <v>10</v>
          </cell>
        </row>
        <row r="75">
          <cell r="A75" t="str">
            <v>CMP-1174</v>
          </cell>
          <cell r="H75" t="str">
            <v>Yes</v>
          </cell>
          <cell r="J75" t="str">
            <v>Yes</v>
          </cell>
          <cell r="L75" t="str">
            <v>No</v>
          </cell>
          <cell r="M75">
            <v>11</v>
          </cell>
        </row>
        <row r="76">
          <cell r="A76" t="str">
            <v>CMP-1079</v>
          </cell>
          <cell r="H76" t="str">
            <v>Yes</v>
          </cell>
          <cell r="J76" t="str">
            <v>No</v>
          </cell>
          <cell r="L76" t="str">
            <v>No</v>
          </cell>
          <cell r="M76">
            <v>12</v>
          </cell>
        </row>
        <row r="77">
          <cell r="A77" t="str">
            <v>CMP-1052</v>
          </cell>
          <cell r="H77" t="str">
            <v>Yes</v>
          </cell>
          <cell r="J77" t="str">
            <v>No</v>
          </cell>
          <cell r="L77" t="str">
            <v>No</v>
          </cell>
          <cell r="M77">
            <v>7</v>
          </cell>
        </row>
        <row r="78">
          <cell r="A78" t="str">
            <v>CMP-1296</v>
          </cell>
          <cell r="H78" t="str">
            <v>No</v>
          </cell>
          <cell r="J78" t="str">
            <v>No</v>
          </cell>
          <cell r="L78" t="str">
            <v>No</v>
          </cell>
          <cell r="M78">
            <v>13</v>
          </cell>
        </row>
        <row r="79">
          <cell r="A79" t="str">
            <v>CMP-1247</v>
          </cell>
          <cell r="H79" t="str">
            <v>Yes</v>
          </cell>
          <cell r="J79" t="str">
            <v>No</v>
          </cell>
          <cell r="L79" t="str">
            <v>No</v>
          </cell>
          <cell r="M79">
            <v>18</v>
          </cell>
        </row>
        <row r="80">
          <cell r="A80" t="str">
            <v>CMP-1213</v>
          </cell>
          <cell r="H80" t="str">
            <v>No</v>
          </cell>
          <cell r="J80" t="str">
            <v>Yes</v>
          </cell>
          <cell r="L80" t="str">
            <v>No</v>
          </cell>
          <cell r="M80">
            <v>5</v>
          </cell>
        </row>
        <row r="81">
          <cell r="A81" t="str">
            <v>CMP-1001</v>
          </cell>
          <cell r="H81" t="str">
            <v>Yes</v>
          </cell>
          <cell r="J81" t="str">
            <v>No</v>
          </cell>
          <cell r="L81" t="str">
            <v>No</v>
          </cell>
          <cell r="M81">
            <v>13</v>
          </cell>
        </row>
        <row r="82">
          <cell r="A82" t="str">
            <v>CMP-1117</v>
          </cell>
          <cell r="H82" t="str">
            <v>Yes</v>
          </cell>
          <cell r="J82" t="str">
            <v>No</v>
          </cell>
          <cell r="L82" t="str">
            <v>No</v>
          </cell>
          <cell r="M82">
            <v>9</v>
          </cell>
        </row>
        <row r="83">
          <cell r="A83" t="str">
            <v>CMP-1286</v>
          </cell>
          <cell r="H83" t="str">
            <v>No</v>
          </cell>
          <cell r="J83" t="str">
            <v>No</v>
          </cell>
          <cell r="L83" t="str">
            <v>No</v>
          </cell>
          <cell r="M83">
            <v>15</v>
          </cell>
        </row>
        <row r="84">
          <cell r="A84" t="str">
            <v>CMP-1215</v>
          </cell>
          <cell r="H84" t="str">
            <v>No</v>
          </cell>
          <cell r="J84" t="str">
            <v>No</v>
          </cell>
          <cell r="L84" t="str">
            <v>No</v>
          </cell>
          <cell r="M84">
            <v>14</v>
          </cell>
        </row>
        <row r="85">
          <cell r="A85" t="str">
            <v>CMP-1141</v>
          </cell>
          <cell r="H85" t="str">
            <v>No</v>
          </cell>
          <cell r="J85" t="str">
            <v>No</v>
          </cell>
          <cell r="L85" t="str">
            <v>No</v>
          </cell>
          <cell r="M85">
            <v>19</v>
          </cell>
        </row>
        <row r="86">
          <cell r="A86" t="str">
            <v>CMP-1105</v>
          </cell>
          <cell r="H86" t="str">
            <v>Yes</v>
          </cell>
          <cell r="J86" t="str">
            <v>Yes</v>
          </cell>
          <cell r="L86" t="str">
            <v>No</v>
          </cell>
          <cell r="M86">
            <v>12</v>
          </cell>
        </row>
        <row r="87">
          <cell r="A87" t="str">
            <v>CMP-1224</v>
          </cell>
          <cell r="H87" t="str">
            <v>No</v>
          </cell>
          <cell r="J87" t="str">
            <v>No</v>
          </cell>
          <cell r="L87" t="str">
            <v>No</v>
          </cell>
          <cell r="M87">
            <v>13</v>
          </cell>
        </row>
        <row r="88">
          <cell r="A88" t="str">
            <v>CMP-1181</v>
          </cell>
          <cell r="H88" t="str">
            <v>Yes</v>
          </cell>
          <cell r="J88" t="str">
            <v>Yes</v>
          </cell>
          <cell r="L88" t="str">
            <v>Yes</v>
          </cell>
          <cell r="M88" t="str">
            <v/>
          </cell>
        </row>
        <row r="89">
          <cell r="A89" t="str">
            <v>CMP-1008</v>
          </cell>
          <cell r="H89" t="str">
            <v>Yes</v>
          </cell>
          <cell r="J89" t="str">
            <v>No</v>
          </cell>
          <cell r="L89" t="str">
            <v>No</v>
          </cell>
          <cell r="M89">
            <v>19</v>
          </cell>
        </row>
        <row r="90">
          <cell r="A90" t="str">
            <v>CMP-1102</v>
          </cell>
          <cell r="H90" t="str">
            <v>No</v>
          </cell>
          <cell r="J90" t="str">
            <v>No</v>
          </cell>
          <cell r="L90" t="str">
            <v>No</v>
          </cell>
          <cell r="M90">
            <v>17</v>
          </cell>
        </row>
        <row r="91">
          <cell r="A91" t="str">
            <v>CMP-1108</v>
          </cell>
          <cell r="H91" t="str">
            <v>No</v>
          </cell>
          <cell r="J91" t="str">
            <v>No</v>
          </cell>
          <cell r="L91" t="str">
            <v>No</v>
          </cell>
          <cell r="M91">
            <v>11</v>
          </cell>
        </row>
        <row r="92">
          <cell r="A92" t="str">
            <v>CMP-1060</v>
          </cell>
          <cell r="H92" t="str">
            <v>No</v>
          </cell>
          <cell r="J92" t="str">
            <v>No</v>
          </cell>
          <cell r="L92" t="str">
            <v>No</v>
          </cell>
          <cell r="M92">
            <v>16</v>
          </cell>
        </row>
        <row r="93">
          <cell r="A93" t="str">
            <v>CMP-1241</v>
          </cell>
          <cell r="H93" t="str">
            <v>Yes</v>
          </cell>
          <cell r="J93" t="str">
            <v>No</v>
          </cell>
          <cell r="L93" t="str">
            <v>No</v>
          </cell>
          <cell r="M93">
            <v>2</v>
          </cell>
        </row>
        <row r="94">
          <cell r="A94" t="str">
            <v>CMP-1273</v>
          </cell>
          <cell r="H94" t="str">
            <v>No</v>
          </cell>
          <cell r="J94" t="str">
            <v>No</v>
          </cell>
          <cell r="L94" t="str">
            <v>No</v>
          </cell>
          <cell r="M94">
            <v>14</v>
          </cell>
        </row>
        <row r="95">
          <cell r="A95" t="str">
            <v>CMP-1068</v>
          </cell>
          <cell r="H95" t="str">
            <v>Yes</v>
          </cell>
          <cell r="J95" t="str">
            <v>No</v>
          </cell>
          <cell r="L95" t="str">
            <v>No</v>
          </cell>
          <cell r="M95">
            <v>15</v>
          </cell>
        </row>
        <row r="96">
          <cell r="A96" t="str">
            <v>CMP-1123</v>
          </cell>
          <cell r="H96" t="str">
            <v>Yes</v>
          </cell>
          <cell r="J96" t="str">
            <v>No</v>
          </cell>
          <cell r="L96" t="str">
            <v>No</v>
          </cell>
          <cell r="M96">
            <v>20</v>
          </cell>
        </row>
        <row r="97">
          <cell r="A97" t="str">
            <v>CMP-1213</v>
          </cell>
          <cell r="H97" t="str">
            <v>No</v>
          </cell>
          <cell r="J97" t="str">
            <v>No</v>
          </cell>
          <cell r="L97" t="str">
            <v>No</v>
          </cell>
          <cell r="M97">
            <v>11</v>
          </cell>
        </row>
        <row r="98">
          <cell r="A98" t="str">
            <v>CMP-1093</v>
          </cell>
          <cell r="H98" t="str">
            <v>Yes</v>
          </cell>
          <cell r="J98" t="str">
            <v>No</v>
          </cell>
          <cell r="L98" t="str">
            <v>No</v>
          </cell>
          <cell r="M98">
            <v>8</v>
          </cell>
        </row>
        <row r="99">
          <cell r="A99" t="str">
            <v>CMP-1086</v>
          </cell>
          <cell r="H99" t="str">
            <v>Yes</v>
          </cell>
          <cell r="J99" t="str">
            <v>No</v>
          </cell>
          <cell r="L99" t="str">
            <v>No</v>
          </cell>
          <cell r="M99">
            <v>15</v>
          </cell>
        </row>
        <row r="100">
          <cell r="A100" t="str">
            <v>CMP-1026</v>
          </cell>
          <cell r="H100" t="str">
            <v>No</v>
          </cell>
          <cell r="J100" t="str">
            <v>No</v>
          </cell>
          <cell r="L100" t="str">
            <v>No</v>
          </cell>
          <cell r="M100">
            <v>8</v>
          </cell>
        </row>
        <row r="101">
          <cell r="A101" t="str">
            <v>CMP-1182</v>
          </cell>
          <cell r="H101" t="str">
            <v>Yes</v>
          </cell>
          <cell r="J101" t="str">
            <v>No</v>
          </cell>
          <cell r="L101" t="str">
            <v>No</v>
          </cell>
          <cell r="M101">
            <v>17</v>
          </cell>
        </row>
        <row r="102">
          <cell r="A102" t="str">
            <v>CMP-1153</v>
          </cell>
          <cell r="H102" t="str">
            <v>Yes</v>
          </cell>
          <cell r="J102" t="str">
            <v>No</v>
          </cell>
          <cell r="L102" t="str">
            <v>No</v>
          </cell>
          <cell r="M102">
            <v>17</v>
          </cell>
        </row>
        <row r="103">
          <cell r="A103" t="str">
            <v>CMP-1214</v>
          </cell>
          <cell r="H103" t="str">
            <v>Yes</v>
          </cell>
          <cell r="J103" t="str">
            <v>No</v>
          </cell>
          <cell r="L103" t="str">
            <v>No</v>
          </cell>
          <cell r="M103">
            <v>6</v>
          </cell>
        </row>
        <row r="104">
          <cell r="A104" t="str">
            <v>CMP-1047</v>
          </cell>
          <cell r="H104" t="str">
            <v>Yes</v>
          </cell>
          <cell r="J104" t="str">
            <v>No</v>
          </cell>
          <cell r="L104" t="str">
            <v>No</v>
          </cell>
          <cell r="M104">
            <v>14</v>
          </cell>
        </row>
        <row r="105">
          <cell r="A105" t="str">
            <v>CMP-1183</v>
          </cell>
          <cell r="H105" t="str">
            <v>Yes</v>
          </cell>
          <cell r="J105" t="str">
            <v>No</v>
          </cell>
          <cell r="L105" t="str">
            <v>No</v>
          </cell>
          <cell r="M105">
            <v>5</v>
          </cell>
        </row>
        <row r="106">
          <cell r="A106" t="str">
            <v>CMP-1284</v>
          </cell>
          <cell r="H106" t="str">
            <v>Yes</v>
          </cell>
          <cell r="J106" t="str">
            <v>Yes</v>
          </cell>
          <cell r="L106" t="str">
            <v>No</v>
          </cell>
          <cell r="M106">
            <v>11</v>
          </cell>
        </row>
        <row r="107">
          <cell r="A107" t="str">
            <v>CMP-1205</v>
          </cell>
          <cell r="H107" t="str">
            <v>Yes</v>
          </cell>
          <cell r="J107" t="str">
            <v>No</v>
          </cell>
          <cell r="L107" t="str">
            <v>No</v>
          </cell>
          <cell r="M107">
            <v>12</v>
          </cell>
        </row>
        <row r="108">
          <cell r="A108" t="str">
            <v>CMP-1282</v>
          </cell>
          <cell r="H108" t="str">
            <v>Yes</v>
          </cell>
          <cell r="J108" t="str">
            <v>No</v>
          </cell>
          <cell r="L108" t="str">
            <v>No</v>
          </cell>
          <cell r="M108">
            <v>13</v>
          </cell>
        </row>
        <row r="109">
          <cell r="A109" t="str">
            <v>CMP-1282</v>
          </cell>
          <cell r="H109" t="str">
            <v>Yes</v>
          </cell>
          <cell r="J109" t="str">
            <v>No</v>
          </cell>
          <cell r="L109" t="str">
            <v>No</v>
          </cell>
          <cell r="M109">
            <v>13</v>
          </cell>
        </row>
        <row r="110">
          <cell r="A110" t="str">
            <v>CMP-1179</v>
          </cell>
          <cell r="H110" t="str">
            <v>No</v>
          </cell>
          <cell r="J110" t="str">
            <v>Yes</v>
          </cell>
          <cell r="L110" t="str">
            <v>Yes</v>
          </cell>
          <cell r="M110" t="str">
            <v/>
          </cell>
        </row>
        <row r="111">
          <cell r="A111" t="str">
            <v>CMP-1020</v>
          </cell>
          <cell r="H111" t="str">
            <v>Yes</v>
          </cell>
          <cell r="J111" t="str">
            <v>No</v>
          </cell>
          <cell r="L111" t="str">
            <v>No</v>
          </cell>
          <cell r="M111">
            <v>13</v>
          </cell>
        </row>
        <row r="112">
          <cell r="A112" t="str">
            <v>CMP-1128</v>
          </cell>
          <cell r="H112" t="str">
            <v>No</v>
          </cell>
          <cell r="J112" t="str">
            <v>No</v>
          </cell>
          <cell r="L112" t="str">
            <v>No</v>
          </cell>
          <cell r="M112">
            <v>9</v>
          </cell>
        </row>
        <row r="113">
          <cell r="A113" t="str">
            <v>CMP-1119</v>
          </cell>
          <cell r="H113" t="str">
            <v>Yes</v>
          </cell>
          <cell r="J113" t="str">
            <v>No</v>
          </cell>
          <cell r="L113" t="str">
            <v>No</v>
          </cell>
          <cell r="M113">
            <v>20</v>
          </cell>
        </row>
        <row r="114">
          <cell r="A114" t="str">
            <v>CMP-1192</v>
          </cell>
          <cell r="H114" t="str">
            <v>No</v>
          </cell>
          <cell r="J114" t="str">
            <v>No</v>
          </cell>
          <cell r="L114" t="str">
            <v>No</v>
          </cell>
          <cell r="M114">
            <v>3</v>
          </cell>
        </row>
        <row r="115">
          <cell r="A115" t="str">
            <v>CMP-1007</v>
          </cell>
          <cell r="H115" t="str">
            <v>No</v>
          </cell>
          <cell r="J115" t="str">
            <v>Yes</v>
          </cell>
          <cell r="L115" t="str">
            <v>No</v>
          </cell>
          <cell r="M115">
            <v>14</v>
          </cell>
        </row>
        <row r="116">
          <cell r="A116" t="str">
            <v>CMP-1009</v>
          </cell>
          <cell r="H116" t="str">
            <v>No</v>
          </cell>
          <cell r="J116" t="str">
            <v>No</v>
          </cell>
          <cell r="L116" t="str">
            <v>Yes</v>
          </cell>
          <cell r="M116" t="str">
            <v/>
          </cell>
        </row>
        <row r="117">
          <cell r="A117" t="str">
            <v>CMP-1187</v>
          </cell>
          <cell r="H117" t="str">
            <v>No</v>
          </cell>
          <cell r="J117" t="str">
            <v>Yes</v>
          </cell>
          <cell r="L117" t="str">
            <v>Yes</v>
          </cell>
          <cell r="M117" t="str">
            <v/>
          </cell>
        </row>
        <row r="118">
          <cell r="A118" t="str">
            <v>CMP-1206</v>
          </cell>
          <cell r="H118" t="str">
            <v>No</v>
          </cell>
          <cell r="J118" t="str">
            <v>No</v>
          </cell>
          <cell r="L118" t="str">
            <v>No</v>
          </cell>
          <cell r="M118">
            <v>16</v>
          </cell>
        </row>
        <row r="119">
          <cell r="A119" t="str">
            <v>CMP-1117</v>
          </cell>
          <cell r="H119" t="str">
            <v>No</v>
          </cell>
          <cell r="J119" t="str">
            <v>Yes</v>
          </cell>
          <cell r="L119" t="str">
            <v>No</v>
          </cell>
          <cell r="M119">
            <v>9</v>
          </cell>
        </row>
        <row r="120">
          <cell r="A120" t="str">
            <v>CMP-1269</v>
          </cell>
          <cell r="H120" t="str">
            <v>Yes</v>
          </cell>
          <cell r="J120" t="str">
            <v>Yes</v>
          </cell>
          <cell r="L120" t="str">
            <v>No</v>
          </cell>
          <cell r="M120">
            <v>19</v>
          </cell>
        </row>
        <row r="121">
          <cell r="A121" t="str">
            <v>CMP-1266</v>
          </cell>
          <cell r="H121" t="str">
            <v>Yes</v>
          </cell>
          <cell r="J121" t="str">
            <v>Yes</v>
          </cell>
          <cell r="L121" t="str">
            <v>No</v>
          </cell>
          <cell r="M121">
            <v>20</v>
          </cell>
        </row>
        <row r="122">
          <cell r="A122" t="str">
            <v>CMP-1147</v>
          </cell>
          <cell r="H122" t="str">
            <v>No</v>
          </cell>
          <cell r="J122" t="str">
            <v>No</v>
          </cell>
          <cell r="L122" t="str">
            <v>No</v>
          </cell>
          <cell r="M122">
            <v>6</v>
          </cell>
        </row>
        <row r="123">
          <cell r="A123" t="str">
            <v>CMP-1229</v>
          </cell>
          <cell r="H123" t="str">
            <v>Yes</v>
          </cell>
          <cell r="J123" t="str">
            <v>Yes</v>
          </cell>
          <cell r="L123" t="str">
            <v>No</v>
          </cell>
          <cell r="M123">
            <v>12</v>
          </cell>
        </row>
        <row r="124">
          <cell r="A124" t="str">
            <v>CMP-1114</v>
          </cell>
          <cell r="H124" t="str">
            <v>No</v>
          </cell>
          <cell r="J124" t="str">
            <v>No</v>
          </cell>
          <cell r="L124" t="str">
            <v>No</v>
          </cell>
          <cell r="M124">
            <v>6</v>
          </cell>
        </row>
        <row r="125">
          <cell r="A125" t="str">
            <v>CMP-1046</v>
          </cell>
          <cell r="H125" t="str">
            <v>No</v>
          </cell>
          <cell r="J125" t="str">
            <v>No</v>
          </cell>
          <cell r="L125" t="str">
            <v>No</v>
          </cell>
          <cell r="M125">
            <v>10</v>
          </cell>
        </row>
        <row r="126">
          <cell r="A126" t="str">
            <v>CMP-1095</v>
          </cell>
          <cell r="H126" t="str">
            <v>No</v>
          </cell>
          <cell r="J126" t="str">
            <v>No</v>
          </cell>
          <cell r="L126" t="str">
            <v>No</v>
          </cell>
          <cell r="M126">
            <v>8</v>
          </cell>
        </row>
        <row r="127">
          <cell r="A127" t="str">
            <v>CMP-1160</v>
          </cell>
          <cell r="H127" t="str">
            <v>Yes</v>
          </cell>
          <cell r="J127" t="str">
            <v>No</v>
          </cell>
          <cell r="L127" t="str">
            <v>No</v>
          </cell>
          <cell r="M127">
            <v>10</v>
          </cell>
        </row>
        <row r="128">
          <cell r="A128" t="str">
            <v>CMP-1218</v>
          </cell>
          <cell r="H128" t="str">
            <v>No</v>
          </cell>
          <cell r="J128" t="str">
            <v>Yes</v>
          </cell>
          <cell r="L128" t="str">
            <v>No</v>
          </cell>
          <cell r="M128">
            <v>3</v>
          </cell>
        </row>
        <row r="129">
          <cell r="A129" t="str">
            <v>CMP-1072</v>
          </cell>
          <cell r="H129" t="str">
            <v>Yes</v>
          </cell>
          <cell r="J129" t="str">
            <v>No</v>
          </cell>
          <cell r="L129" t="str">
            <v>No</v>
          </cell>
          <cell r="M129">
            <v>17</v>
          </cell>
        </row>
        <row r="130">
          <cell r="A130" t="str">
            <v>CMP-1199</v>
          </cell>
          <cell r="H130" t="str">
            <v>No</v>
          </cell>
          <cell r="J130" t="str">
            <v>No</v>
          </cell>
          <cell r="L130" t="str">
            <v>No</v>
          </cell>
          <cell r="M130">
            <v>14</v>
          </cell>
        </row>
        <row r="131">
          <cell r="A131" t="str">
            <v>CMP-1001</v>
          </cell>
          <cell r="H131" t="str">
            <v>No</v>
          </cell>
          <cell r="J131" t="str">
            <v>No</v>
          </cell>
          <cell r="L131" t="str">
            <v>No</v>
          </cell>
          <cell r="M131">
            <v>15</v>
          </cell>
        </row>
        <row r="132">
          <cell r="A132" t="str">
            <v>CMP-1294</v>
          </cell>
          <cell r="H132" t="str">
            <v>No</v>
          </cell>
          <cell r="J132" t="str">
            <v>Yes</v>
          </cell>
          <cell r="L132" t="str">
            <v>No</v>
          </cell>
          <cell r="M132">
            <v>18</v>
          </cell>
        </row>
        <row r="133">
          <cell r="A133" t="str">
            <v>CMP-1206</v>
          </cell>
          <cell r="H133" t="str">
            <v>Yes</v>
          </cell>
          <cell r="J133" t="str">
            <v>No</v>
          </cell>
          <cell r="L133" t="str">
            <v>No</v>
          </cell>
          <cell r="M133">
            <v>3</v>
          </cell>
        </row>
        <row r="134">
          <cell r="A134" t="str">
            <v>CMP-1173</v>
          </cell>
          <cell r="H134" t="str">
            <v>Yes</v>
          </cell>
          <cell r="J134" t="str">
            <v>Yes</v>
          </cell>
          <cell r="L134" t="str">
            <v>No</v>
          </cell>
          <cell r="M134">
            <v>7</v>
          </cell>
        </row>
        <row r="135">
          <cell r="A135" t="str">
            <v>CMP-1227</v>
          </cell>
          <cell r="H135" t="str">
            <v>No</v>
          </cell>
          <cell r="J135" t="str">
            <v>Yes</v>
          </cell>
          <cell r="L135" t="str">
            <v>No</v>
          </cell>
          <cell r="M135">
            <v>10</v>
          </cell>
        </row>
        <row r="136">
          <cell r="A136" t="str">
            <v>CMP-1097</v>
          </cell>
          <cell r="H136" t="str">
            <v>Yes</v>
          </cell>
          <cell r="J136" t="str">
            <v>No</v>
          </cell>
          <cell r="L136" t="str">
            <v>No</v>
          </cell>
          <cell r="M136">
            <v>20</v>
          </cell>
        </row>
        <row r="137">
          <cell r="A137" t="str">
            <v>CMP-1220</v>
          </cell>
          <cell r="H137" t="str">
            <v>No</v>
          </cell>
          <cell r="J137" t="str">
            <v>Yes</v>
          </cell>
          <cell r="L137" t="str">
            <v>No</v>
          </cell>
          <cell r="M137">
            <v>15</v>
          </cell>
        </row>
        <row r="138">
          <cell r="A138" t="str">
            <v>CMP-1013</v>
          </cell>
          <cell r="H138" t="str">
            <v>No</v>
          </cell>
          <cell r="J138" t="str">
            <v>Yes</v>
          </cell>
          <cell r="L138" t="str">
            <v>No</v>
          </cell>
          <cell r="M138">
            <v>7</v>
          </cell>
        </row>
        <row r="139">
          <cell r="A139" t="str">
            <v>CMP-1099</v>
          </cell>
          <cell r="H139" t="str">
            <v>No</v>
          </cell>
          <cell r="J139" t="str">
            <v>No</v>
          </cell>
          <cell r="L139" t="str">
            <v>No</v>
          </cell>
          <cell r="M139">
            <v>20</v>
          </cell>
        </row>
        <row r="140">
          <cell r="A140" t="str">
            <v>CMP-1297</v>
          </cell>
          <cell r="H140" t="str">
            <v>No</v>
          </cell>
          <cell r="J140" t="str">
            <v>No</v>
          </cell>
          <cell r="L140" t="str">
            <v>No</v>
          </cell>
          <cell r="M140">
            <v>1</v>
          </cell>
        </row>
        <row r="141">
          <cell r="A141" t="str">
            <v>CMP-1255</v>
          </cell>
          <cell r="H141" t="str">
            <v>No</v>
          </cell>
          <cell r="J141" t="str">
            <v>No</v>
          </cell>
          <cell r="L141" t="str">
            <v>No</v>
          </cell>
          <cell r="M141">
            <v>10</v>
          </cell>
        </row>
        <row r="142">
          <cell r="A142" t="str">
            <v>CMP-1156</v>
          </cell>
          <cell r="H142" t="str">
            <v>No</v>
          </cell>
          <cell r="J142" t="str">
            <v>Yes</v>
          </cell>
          <cell r="L142" t="str">
            <v>No</v>
          </cell>
          <cell r="M142">
            <v>19</v>
          </cell>
        </row>
        <row r="143">
          <cell r="A143" t="str">
            <v>CMP-1241</v>
          </cell>
          <cell r="H143" t="str">
            <v>Yes</v>
          </cell>
          <cell r="J143" t="str">
            <v>No</v>
          </cell>
          <cell r="L143" t="str">
            <v>No</v>
          </cell>
          <cell r="M143">
            <v>1</v>
          </cell>
        </row>
        <row r="144">
          <cell r="A144" t="str">
            <v>CMP-1265</v>
          </cell>
          <cell r="H144" t="str">
            <v>No</v>
          </cell>
          <cell r="J144" t="str">
            <v>Yes</v>
          </cell>
          <cell r="L144" t="str">
            <v>No</v>
          </cell>
          <cell r="M144">
            <v>10</v>
          </cell>
        </row>
        <row r="145">
          <cell r="A145" t="str">
            <v>CMP-1036</v>
          </cell>
          <cell r="H145" t="str">
            <v>Yes</v>
          </cell>
          <cell r="J145" t="str">
            <v>No</v>
          </cell>
          <cell r="L145" t="str">
            <v>Yes</v>
          </cell>
          <cell r="M145" t="str">
            <v/>
          </cell>
        </row>
        <row r="146">
          <cell r="A146" t="str">
            <v>CMP-1071</v>
          </cell>
          <cell r="H146" t="str">
            <v>Yes</v>
          </cell>
          <cell r="J146" t="str">
            <v>No</v>
          </cell>
          <cell r="L146" t="str">
            <v>No</v>
          </cell>
          <cell r="M146">
            <v>8</v>
          </cell>
        </row>
        <row r="147">
          <cell r="A147" t="str">
            <v>CMP-1300</v>
          </cell>
          <cell r="H147" t="str">
            <v>No</v>
          </cell>
          <cell r="J147" t="str">
            <v>No</v>
          </cell>
          <cell r="L147" t="str">
            <v>No</v>
          </cell>
          <cell r="M147">
            <v>12</v>
          </cell>
        </row>
        <row r="148">
          <cell r="A148" t="str">
            <v>CMP-1288</v>
          </cell>
          <cell r="H148" t="str">
            <v>No</v>
          </cell>
          <cell r="J148" t="str">
            <v>No</v>
          </cell>
          <cell r="L148" t="str">
            <v>No</v>
          </cell>
          <cell r="M148">
            <v>4</v>
          </cell>
        </row>
        <row r="149">
          <cell r="A149" t="str">
            <v>CMP-1295</v>
          </cell>
          <cell r="H149" t="str">
            <v>Yes</v>
          </cell>
          <cell r="J149" t="str">
            <v>No</v>
          </cell>
          <cell r="L149" t="str">
            <v>No</v>
          </cell>
          <cell r="M149">
            <v>2</v>
          </cell>
        </row>
        <row r="150">
          <cell r="A150" t="str">
            <v>CMP-1231</v>
          </cell>
          <cell r="H150" t="str">
            <v>No</v>
          </cell>
          <cell r="J150" t="str">
            <v>No</v>
          </cell>
          <cell r="L150" t="str">
            <v>Yes</v>
          </cell>
          <cell r="M150" t="str">
            <v/>
          </cell>
        </row>
        <row r="151">
          <cell r="A151" t="str">
            <v>CMP-1069</v>
          </cell>
          <cell r="H151" t="str">
            <v>No</v>
          </cell>
          <cell r="J151" t="str">
            <v>No</v>
          </cell>
          <cell r="L151" t="str">
            <v>No</v>
          </cell>
          <cell r="M151">
            <v>7</v>
          </cell>
        </row>
        <row r="152">
          <cell r="A152" t="str">
            <v>CMP-1090</v>
          </cell>
          <cell r="H152" t="str">
            <v>Yes</v>
          </cell>
          <cell r="J152" t="str">
            <v>No</v>
          </cell>
          <cell r="L152" t="str">
            <v>No</v>
          </cell>
          <cell r="M152">
            <v>14</v>
          </cell>
        </row>
        <row r="153">
          <cell r="A153" t="str">
            <v>CMP-1021</v>
          </cell>
          <cell r="H153" t="str">
            <v>No</v>
          </cell>
          <cell r="J153" t="str">
            <v>No</v>
          </cell>
          <cell r="L153" t="str">
            <v>No</v>
          </cell>
          <cell r="M153">
            <v>8</v>
          </cell>
        </row>
        <row r="154">
          <cell r="A154" t="str">
            <v>CMP-1009</v>
          </cell>
          <cell r="H154" t="str">
            <v>No</v>
          </cell>
          <cell r="J154" t="str">
            <v>Yes</v>
          </cell>
          <cell r="L154" t="str">
            <v>No</v>
          </cell>
          <cell r="M154">
            <v>13</v>
          </cell>
        </row>
        <row r="155">
          <cell r="A155" t="str">
            <v>CMP-1045</v>
          </cell>
          <cell r="H155" t="str">
            <v>No</v>
          </cell>
          <cell r="J155" t="str">
            <v>No</v>
          </cell>
          <cell r="L155" t="str">
            <v>No</v>
          </cell>
          <cell r="M155">
            <v>14</v>
          </cell>
        </row>
        <row r="156">
          <cell r="A156" t="str">
            <v>CMP-1246</v>
          </cell>
          <cell r="H156" t="str">
            <v>No</v>
          </cell>
          <cell r="J156" t="str">
            <v>No</v>
          </cell>
          <cell r="L156" t="str">
            <v>No</v>
          </cell>
          <cell r="M156">
            <v>8</v>
          </cell>
        </row>
        <row r="157">
          <cell r="A157" t="str">
            <v>CMP-1175</v>
          </cell>
          <cell r="H157" t="str">
            <v>No</v>
          </cell>
          <cell r="J157" t="str">
            <v>Yes</v>
          </cell>
          <cell r="L157" t="str">
            <v>No</v>
          </cell>
          <cell r="M157">
            <v>11</v>
          </cell>
        </row>
        <row r="158">
          <cell r="A158" t="str">
            <v>CMP-1080</v>
          </cell>
          <cell r="H158" t="str">
            <v>No</v>
          </cell>
          <cell r="J158" t="str">
            <v>Yes</v>
          </cell>
          <cell r="L158" t="str">
            <v>No</v>
          </cell>
          <cell r="M158">
            <v>9</v>
          </cell>
        </row>
        <row r="159">
          <cell r="A159" t="str">
            <v>CMP-1228</v>
          </cell>
          <cell r="H159" t="str">
            <v>Yes</v>
          </cell>
          <cell r="J159" t="str">
            <v>No</v>
          </cell>
          <cell r="L159" t="str">
            <v>No</v>
          </cell>
          <cell r="M159">
            <v>20</v>
          </cell>
        </row>
        <row r="160">
          <cell r="A160" t="str">
            <v>CMP-1131</v>
          </cell>
          <cell r="H160" t="str">
            <v>No</v>
          </cell>
          <cell r="J160" t="str">
            <v>No</v>
          </cell>
          <cell r="L160" t="str">
            <v>No</v>
          </cell>
          <cell r="M160">
            <v>10</v>
          </cell>
        </row>
        <row r="161">
          <cell r="A161" t="str">
            <v>CMP-1106</v>
          </cell>
          <cell r="H161" t="str">
            <v>No</v>
          </cell>
          <cell r="J161" t="str">
            <v>Yes</v>
          </cell>
          <cell r="L161" t="str">
            <v>No</v>
          </cell>
          <cell r="M161">
            <v>3</v>
          </cell>
        </row>
        <row r="162">
          <cell r="A162" t="str">
            <v>CMP-1056</v>
          </cell>
          <cell r="H162" t="str">
            <v>Yes</v>
          </cell>
          <cell r="J162" t="str">
            <v>No</v>
          </cell>
          <cell r="L162" t="str">
            <v>No</v>
          </cell>
          <cell r="M162">
            <v>5</v>
          </cell>
        </row>
        <row r="163">
          <cell r="A163" t="str">
            <v>CMP-1156</v>
          </cell>
          <cell r="H163" t="str">
            <v>No</v>
          </cell>
          <cell r="J163" t="str">
            <v>Yes</v>
          </cell>
          <cell r="L163" t="str">
            <v>No</v>
          </cell>
          <cell r="M163">
            <v>16</v>
          </cell>
        </row>
        <row r="164">
          <cell r="A164" t="str">
            <v>CMP-1066</v>
          </cell>
          <cell r="H164" t="str">
            <v>No</v>
          </cell>
          <cell r="J164" t="str">
            <v>No</v>
          </cell>
          <cell r="L164" t="str">
            <v>No</v>
          </cell>
          <cell r="M164">
            <v>19</v>
          </cell>
        </row>
        <row r="165">
          <cell r="A165" t="str">
            <v>CMP-1257</v>
          </cell>
          <cell r="H165" t="str">
            <v>Yes</v>
          </cell>
          <cell r="J165" t="str">
            <v>Yes</v>
          </cell>
          <cell r="L165" t="str">
            <v>No</v>
          </cell>
          <cell r="M165">
            <v>11</v>
          </cell>
        </row>
        <row r="166">
          <cell r="A166" t="str">
            <v>CMP-1254</v>
          </cell>
          <cell r="H166" t="str">
            <v>No</v>
          </cell>
          <cell r="J166" t="str">
            <v>No</v>
          </cell>
          <cell r="L166" t="str">
            <v>No</v>
          </cell>
          <cell r="M166">
            <v>4</v>
          </cell>
        </row>
        <row r="167">
          <cell r="A167" t="str">
            <v>CMP-1120</v>
          </cell>
          <cell r="H167" t="str">
            <v>Yes</v>
          </cell>
          <cell r="J167" t="str">
            <v>Yes</v>
          </cell>
          <cell r="L167" t="str">
            <v>No</v>
          </cell>
          <cell r="M167">
            <v>20</v>
          </cell>
        </row>
        <row r="168">
          <cell r="A168" t="str">
            <v>CMP-1043</v>
          </cell>
          <cell r="H168" t="str">
            <v>Yes</v>
          </cell>
          <cell r="J168" t="str">
            <v>No</v>
          </cell>
          <cell r="L168" t="str">
            <v>No</v>
          </cell>
          <cell r="M168">
            <v>1</v>
          </cell>
        </row>
        <row r="169">
          <cell r="A169" t="str">
            <v>CMP-1023</v>
          </cell>
          <cell r="H169" t="str">
            <v>Yes</v>
          </cell>
          <cell r="J169" t="str">
            <v>No</v>
          </cell>
          <cell r="L169" t="str">
            <v>No</v>
          </cell>
          <cell r="M169">
            <v>9</v>
          </cell>
        </row>
        <row r="170">
          <cell r="A170" t="str">
            <v>CMP-1277</v>
          </cell>
          <cell r="H170" t="str">
            <v>Yes</v>
          </cell>
          <cell r="J170" t="str">
            <v>No</v>
          </cell>
          <cell r="L170" t="str">
            <v>No</v>
          </cell>
          <cell r="M170">
            <v>19</v>
          </cell>
        </row>
        <row r="171">
          <cell r="A171" t="str">
            <v>CMP-1246</v>
          </cell>
          <cell r="H171" t="str">
            <v>No</v>
          </cell>
          <cell r="J171" t="str">
            <v>No</v>
          </cell>
          <cell r="L171" t="str">
            <v>No</v>
          </cell>
          <cell r="M171">
            <v>3</v>
          </cell>
        </row>
        <row r="172">
          <cell r="A172" t="str">
            <v>CMP-1150</v>
          </cell>
          <cell r="H172" t="str">
            <v>Yes</v>
          </cell>
          <cell r="J172" t="str">
            <v>No</v>
          </cell>
          <cell r="L172" t="str">
            <v>No</v>
          </cell>
          <cell r="M172">
            <v>13</v>
          </cell>
        </row>
        <row r="173">
          <cell r="A173" t="str">
            <v>CMP-1252</v>
          </cell>
          <cell r="H173" t="str">
            <v>No</v>
          </cell>
          <cell r="J173" t="str">
            <v>No</v>
          </cell>
          <cell r="L173" t="str">
            <v>Yes</v>
          </cell>
          <cell r="M173" t="str">
            <v/>
          </cell>
        </row>
        <row r="174">
          <cell r="A174" t="str">
            <v>CMP-1125</v>
          </cell>
          <cell r="H174" t="str">
            <v>Yes</v>
          </cell>
          <cell r="J174" t="str">
            <v>No</v>
          </cell>
          <cell r="L174" t="str">
            <v>Yes</v>
          </cell>
          <cell r="M174" t="str">
            <v/>
          </cell>
        </row>
        <row r="175">
          <cell r="A175" t="str">
            <v>CMP-1079</v>
          </cell>
          <cell r="H175" t="str">
            <v>No</v>
          </cell>
          <cell r="J175" t="str">
            <v>No</v>
          </cell>
          <cell r="L175" t="str">
            <v>No</v>
          </cell>
          <cell r="M175">
            <v>11</v>
          </cell>
        </row>
        <row r="176">
          <cell r="A176" t="str">
            <v>CMP-1188</v>
          </cell>
          <cell r="H176" t="str">
            <v>No</v>
          </cell>
          <cell r="J176" t="str">
            <v>No</v>
          </cell>
          <cell r="L176" t="str">
            <v>Yes</v>
          </cell>
          <cell r="M176" t="str">
            <v/>
          </cell>
        </row>
        <row r="177">
          <cell r="A177" t="str">
            <v>CMP-1173</v>
          </cell>
          <cell r="H177" t="str">
            <v>Yes</v>
          </cell>
          <cell r="J177" t="str">
            <v>Yes</v>
          </cell>
          <cell r="L177" t="str">
            <v>No</v>
          </cell>
          <cell r="M177">
            <v>11</v>
          </cell>
        </row>
        <row r="178">
          <cell r="A178" t="str">
            <v>CMP-1233</v>
          </cell>
          <cell r="H178" t="str">
            <v>Yes</v>
          </cell>
          <cell r="J178" t="str">
            <v>No</v>
          </cell>
          <cell r="L178" t="str">
            <v>No</v>
          </cell>
          <cell r="M178">
            <v>14</v>
          </cell>
        </row>
        <row r="179">
          <cell r="A179" t="str">
            <v>CMP-1158</v>
          </cell>
          <cell r="H179" t="str">
            <v>Yes</v>
          </cell>
          <cell r="J179" t="str">
            <v>No</v>
          </cell>
          <cell r="L179" t="str">
            <v>No</v>
          </cell>
          <cell r="M179">
            <v>16</v>
          </cell>
        </row>
        <row r="180">
          <cell r="A180" t="str">
            <v>CMP-1020</v>
          </cell>
          <cell r="H180" t="str">
            <v>Yes</v>
          </cell>
          <cell r="J180" t="str">
            <v>Yes</v>
          </cell>
          <cell r="L180" t="str">
            <v>No</v>
          </cell>
          <cell r="M180">
            <v>6</v>
          </cell>
        </row>
        <row r="181">
          <cell r="A181" t="str">
            <v>CMP-1294</v>
          </cell>
          <cell r="H181" t="str">
            <v>No</v>
          </cell>
          <cell r="J181" t="str">
            <v>Yes</v>
          </cell>
          <cell r="L181" t="str">
            <v>No</v>
          </cell>
          <cell r="M181">
            <v>15</v>
          </cell>
        </row>
        <row r="182">
          <cell r="A182" t="str">
            <v>CMP-1127</v>
          </cell>
          <cell r="H182" t="str">
            <v>Yes</v>
          </cell>
          <cell r="J182" t="str">
            <v>No</v>
          </cell>
          <cell r="L182" t="str">
            <v>No</v>
          </cell>
          <cell r="M182">
            <v>15</v>
          </cell>
        </row>
        <row r="183">
          <cell r="A183" t="str">
            <v>CMP-1159</v>
          </cell>
          <cell r="H183" t="str">
            <v>Yes</v>
          </cell>
          <cell r="J183" t="str">
            <v>No</v>
          </cell>
          <cell r="L183" t="str">
            <v>No</v>
          </cell>
          <cell r="M183">
            <v>12</v>
          </cell>
        </row>
        <row r="184">
          <cell r="A184" t="str">
            <v>CMP-1103</v>
          </cell>
          <cell r="H184" t="str">
            <v>Yes</v>
          </cell>
          <cell r="J184" t="str">
            <v>No</v>
          </cell>
          <cell r="L184" t="str">
            <v>Yes</v>
          </cell>
          <cell r="M184" t="str">
            <v/>
          </cell>
        </row>
        <row r="185">
          <cell r="A185" t="str">
            <v>CMP-1112</v>
          </cell>
          <cell r="H185" t="str">
            <v>Yes</v>
          </cell>
          <cell r="J185" t="str">
            <v>No</v>
          </cell>
          <cell r="L185" t="str">
            <v>No</v>
          </cell>
          <cell r="M185">
            <v>1</v>
          </cell>
        </row>
        <row r="186">
          <cell r="A186" t="str">
            <v>CMP-1042</v>
          </cell>
          <cell r="H186" t="str">
            <v>Yes</v>
          </cell>
          <cell r="J186" t="str">
            <v>No</v>
          </cell>
          <cell r="L186" t="str">
            <v>Yes</v>
          </cell>
          <cell r="M186" t="str">
            <v/>
          </cell>
        </row>
        <row r="187">
          <cell r="A187" t="str">
            <v>CMP-1098</v>
          </cell>
          <cell r="H187" t="str">
            <v>Yes</v>
          </cell>
          <cell r="J187" t="str">
            <v>No</v>
          </cell>
          <cell r="L187" t="str">
            <v>No</v>
          </cell>
          <cell r="M187">
            <v>10</v>
          </cell>
        </row>
        <row r="188">
          <cell r="A188" t="str">
            <v>CMP-1065</v>
          </cell>
          <cell r="H188" t="str">
            <v>No</v>
          </cell>
          <cell r="J188" t="str">
            <v>No</v>
          </cell>
          <cell r="L188" t="str">
            <v>Yes</v>
          </cell>
          <cell r="M188" t="str">
            <v/>
          </cell>
        </row>
        <row r="189">
          <cell r="A189" t="str">
            <v>CMP-1283</v>
          </cell>
          <cell r="H189" t="str">
            <v>No</v>
          </cell>
          <cell r="J189" t="str">
            <v>No</v>
          </cell>
          <cell r="L189" t="str">
            <v>No</v>
          </cell>
          <cell r="M189">
            <v>19</v>
          </cell>
        </row>
        <row r="190">
          <cell r="A190" t="str">
            <v>CMP-1089</v>
          </cell>
          <cell r="H190" t="str">
            <v>No</v>
          </cell>
          <cell r="J190" t="str">
            <v>No</v>
          </cell>
          <cell r="L190" t="str">
            <v>No</v>
          </cell>
          <cell r="M190">
            <v>3</v>
          </cell>
        </row>
        <row r="191">
          <cell r="A191" t="str">
            <v>CMP-1228</v>
          </cell>
          <cell r="H191" t="str">
            <v>Yes</v>
          </cell>
          <cell r="J191" t="str">
            <v>No</v>
          </cell>
          <cell r="L191" t="str">
            <v>No</v>
          </cell>
          <cell r="M191">
            <v>4</v>
          </cell>
        </row>
        <row r="192">
          <cell r="A192" t="str">
            <v>CMP-1019</v>
          </cell>
          <cell r="H192" t="str">
            <v>No</v>
          </cell>
          <cell r="J192" t="str">
            <v>No</v>
          </cell>
          <cell r="L192" t="str">
            <v>No</v>
          </cell>
          <cell r="M192">
            <v>7</v>
          </cell>
        </row>
        <row r="193">
          <cell r="A193" t="str">
            <v>CMP-1022</v>
          </cell>
          <cell r="H193" t="str">
            <v>No</v>
          </cell>
          <cell r="J193" t="str">
            <v>No</v>
          </cell>
          <cell r="L193" t="str">
            <v>No</v>
          </cell>
          <cell r="M193">
            <v>19</v>
          </cell>
        </row>
        <row r="194">
          <cell r="A194" t="str">
            <v>CMP-1064</v>
          </cell>
          <cell r="H194" t="str">
            <v>Yes</v>
          </cell>
          <cell r="J194" t="str">
            <v>Yes</v>
          </cell>
          <cell r="L194" t="str">
            <v>No</v>
          </cell>
          <cell r="M194">
            <v>6</v>
          </cell>
        </row>
        <row r="195">
          <cell r="A195" t="str">
            <v>CMP-1256</v>
          </cell>
          <cell r="H195" t="str">
            <v>No</v>
          </cell>
          <cell r="J195" t="str">
            <v>No</v>
          </cell>
          <cell r="L195" t="str">
            <v>No</v>
          </cell>
          <cell r="M195">
            <v>18</v>
          </cell>
        </row>
        <row r="196">
          <cell r="A196" t="str">
            <v>CMP-1225</v>
          </cell>
          <cell r="H196" t="str">
            <v>Yes</v>
          </cell>
          <cell r="J196" t="str">
            <v>Yes</v>
          </cell>
          <cell r="L196" t="str">
            <v>Yes</v>
          </cell>
          <cell r="M196" t="str">
            <v/>
          </cell>
        </row>
        <row r="197">
          <cell r="A197" t="str">
            <v>CMP-1181</v>
          </cell>
          <cell r="H197" t="str">
            <v>Yes</v>
          </cell>
          <cell r="J197" t="str">
            <v>No</v>
          </cell>
          <cell r="L197" t="str">
            <v>No</v>
          </cell>
          <cell r="M197">
            <v>9</v>
          </cell>
        </row>
        <row r="198">
          <cell r="A198" t="str">
            <v>CMP-1208</v>
          </cell>
          <cell r="H198" t="str">
            <v>No</v>
          </cell>
          <cell r="J198" t="str">
            <v>Yes</v>
          </cell>
          <cell r="L198" t="str">
            <v>No</v>
          </cell>
          <cell r="M198">
            <v>10</v>
          </cell>
        </row>
        <row r="199">
          <cell r="A199" t="str">
            <v>CMP-1079</v>
          </cell>
          <cell r="H199" t="str">
            <v>No</v>
          </cell>
          <cell r="J199" t="str">
            <v>No</v>
          </cell>
          <cell r="L199" t="str">
            <v>No</v>
          </cell>
          <cell r="M199">
            <v>19</v>
          </cell>
        </row>
        <row r="200">
          <cell r="A200" t="str">
            <v>CMP-1040</v>
          </cell>
          <cell r="H200" t="str">
            <v>No</v>
          </cell>
          <cell r="J200" t="str">
            <v>Yes</v>
          </cell>
          <cell r="L200" t="str">
            <v>No</v>
          </cell>
          <cell r="M200">
            <v>8</v>
          </cell>
        </row>
        <row r="201">
          <cell r="A201" t="str">
            <v>CMP-1066</v>
          </cell>
          <cell r="H201" t="str">
            <v>No</v>
          </cell>
          <cell r="J201" t="str">
            <v>No</v>
          </cell>
          <cell r="L201" t="str">
            <v>No</v>
          </cell>
          <cell r="M201">
            <v>17</v>
          </cell>
        </row>
        <row r="202">
          <cell r="A202" t="str">
            <v>CMP-1175</v>
          </cell>
          <cell r="H202" t="str">
            <v>No</v>
          </cell>
          <cell r="J202" t="str">
            <v>No</v>
          </cell>
          <cell r="L202" t="str">
            <v>Yes</v>
          </cell>
          <cell r="M202" t="str">
            <v/>
          </cell>
        </row>
        <row r="203">
          <cell r="A203" t="str">
            <v>CMP-1064</v>
          </cell>
          <cell r="H203" t="str">
            <v>No</v>
          </cell>
          <cell r="J203" t="str">
            <v>No</v>
          </cell>
          <cell r="L203" t="str">
            <v>No</v>
          </cell>
          <cell r="M203">
            <v>15</v>
          </cell>
        </row>
        <row r="204">
          <cell r="A204" t="str">
            <v>CMP-1258</v>
          </cell>
          <cell r="H204" t="str">
            <v>Yes</v>
          </cell>
          <cell r="J204" t="str">
            <v>Yes</v>
          </cell>
          <cell r="L204" t="str">
            <v>No</v>
          </cell>
          <cell r="M204">
            <v>1</v>
          </cell>
        </row>
        <row r="205">
          <cell r="A205" t="str">
            <v>CMP-1170</v>
          </cell>
          <cell r="H205" t="str">
            <v>Yes</v>
          </cell>
          <cell r="J205" t="str">
            <v>Yes</v>
          </cell>
          <cell r="L205" t="str">
            <v>No</v>
          </cell>
          <cell r="M205">
            <v>4</v>
          </cell>
        </row>
        <row r="206">
          <cell r="A206" t="str">
            <v>CMP-1259</v>
          </cell>
          <cell r="H206" t="str">
            <v>No</v>
          </cell>
          <cell r="J206" t="str">
            <v>Yes</v>
          </cell>
          <cell r="L206" t="str">
            <v>No</v>
          </cell>
          <cell r="M206">
            <v>9</v>
          </cell>
        </row>
        <row r="207">
          <cell r="A207" t="str">
            <v>CMP-1075</v>
          </cell>
          <cell r="H207" t="str">
            <v>No</v>
          </cell>
          <cell r="J207" t="str">
            <v>No</v>
          </cell>
          <cell r="L207" t="str">
            <v>Yes</v>
          </cell>
          <cell r="M207" t="str">
            <v/>
          </cell>
        </row>
        <row r="208">
          <cell r="A208" t="str">
            <v>CMP-1135</v>
          </cell>
          <cell r="H208" t="str">
            <v>No</v>
          </cell>
          <cell r="J208" t="str">
            <v>No</v>
          </cell>
          <cell r="L208" t="str">
            <v>No</v>
          </cell>
          <cell r="M208">
            <v>14</v>
          </cell>
        </row>
        <row r="209">
          <cell r="A209" t="str">
            <v>CMP-1191</v>
          </cell>
          <cell r="H209" t="str">
            <v>No</v>
          </cell>
          <cell r="J209" t="str">
            <v>Yes</v>
          </cell>
          <cell r="L209" t="str">
            <v>No</v>
          </cell>
          <cell r="M209">
            <v>13</v>
          </cell>
        </row>
        <row r="210">
          <cell r="A210" t="str">
            <v>CMP-1262</v>
          </cell>
          <cell r="H210" t="str">
            <v>No</v>
          </cell>
          <cell r="J210" t="str">
            <v>Yes</v>
          </cell>
          <cell r="L210" t="str">
            <v>No</v>
          </cell>
          <cell r="M210">
            <v>19</v>
          </cell>
        </row>
        <row r="211">
          <cell r="A211" t="str">
            <v>CMP-1191</v>
          </cell>
          <cell r="H211" t="str">
            <v>Yes</v>
          </cell>
          <cell r="J211" t="str">
            <v>No</v>
          </cell>
          <cell r="L211" t="str">
            <v>No</v>
          </cell>
          <cell r="M211">
            <v>7</v>
          </cell>
        </row>
        <row r="212">
          <cell r="A212" t="str">
            <v>CMP-1091</v>
          </cell>
          <cell r="H212" t="str">
            <v>No</v>
          </cell>
          <cell r="J212" t="str">
            <v>Yes</v>
          </cell>
          <cell r="L212" t="str">
            <v>No</v>
          </cell>
          <cell r="M212">
            <v>7</v>
          </cell>
        </row>
        <row r="213">
          <cell r="A213" t="str">
            <v>CMP-1200</v>
          </cell>
          <cell r="H213" t="str">
            <v>No</v>
          </cell>
          <cell r="J213" t="str">
            <v>No</v>
          </cell>
          <cell r="L213" t="str">
            <v>No</v>
          </cell>
          <cell r="M213">
            <v>1</v>
          </cell>
        </row>
        <row r="214">
          <cell r="A214" t="str">
            <v>CMP-1001</v>
          </cell>
          <cell r="H214" t="str">
            <v>Yes</v>
          </cell>
          <cell r="J214" t="str">
            <v>Yes</v>
          </cell>
          <cell r="L214" t="str">
            <v>No</v>
          </cell>
          <cell r="M214">
            <v>5</v>
          </cell>
        </row>
        <row r="215">
          <cell r="A215" t="str">
            <v>CMP-1031</v>
          </cell>
          <cell r="H215" t="str">
            <v>Yes</v>
          </cell>
          <cell r="J215" t="str">
            <v>Yes</v>
          </cell>
          <cell r="L215" t="str">
            <v>No</v>
          </cell>
          <cell r="M215">
            <v>8</v>
          </cell>
        </row>
        <row r="216">
          <cell r="A216" t="str">
            <v>CMP-1206</v>
          </cell>
          <cell r="H216" t="str">
            <v>Yes</v>
          </cell>
          <cell r="J216" t="str">
            <v>No</v>
          </cell>
          <cell r="L216" t="str">
            <v>No</v>
          </cell>
          <cell r="M216">
            <v>7</v>
          </cell>
        </row>
        <row r="217">
          <cell r="A217" t="str">
            <v>CMP-1248</v>
          </cell>
          <cell r="H217" t="str">
            <v>No</v>
          </cell>
          <cell r="J217" t="str">
            <v>No</v>
          </cell>
          <cell r="L217" t="str">
            <v>No</v>
          </cell>
          <cell r="M217">
            <v>11</v>
          </cell>
        </row>
        <row r="218">
          <cell r="A218" t="str">
            <v>CMP-1222</v>
          </cell>
          <cell r="H218" t="str">
            <v>No</v>
          </cell>
          <cell r="J218" t="str">
            <v>No</v>
          </cell>
          <cell r="L218" t="str">
            <v>No</v>
          </cell>
          <cell r="M218">
            <v>12</v>
          </cell>
        </row>
        <row r="219">
          <cell r="A219" t="str">
            <v>CMP-1183</v>
          </cell>
          <cell r="H219" t="str">
            <v>Yes</v>
          </cell>
          <cell r="J219" t="str">
            <v>No</v>
          </cell>
          <cell r="L219" t="str">
            <v>No</v>
          </cell>
          <cell r="M219">
            <v>8</v>
          </cell>
        </row>
        <row r="220">
          <cell r="A220" t="str">
            <v>CMP-1157</v>
          </cell>
          <cell r="H220" t="str">
            <v>Yes</v>
          </cell>
          <cell r="J220" t="str">
            <v>No</v>
          </cell>
          <cell r="L220" t="str">
            <v>No</v>
          </cell>
          <cell r="M220">
            <v>15</v>
          </cell>
        </row>
        <row r="221">
          <cell r="A221" t="str">
            <v>CMP-1300</v>
          </cell>
          <cell r="H221" t="str">
            <v>Yes</v>
          </cell>
          <cell r="J221" t="str">
            <v>Yes</v>
          </cell>
          <cell r="L221" t="str">
            <v>No</v>
          </cell>
          <cell r="M221">
            <v>15</v>
          </cell>
        </row>
        <row r="222">
          <cell r="A222" t="str">
            <v>CMP-1220</v>
          </cell>
          <cell r="H222" t="str">
            <v>No</v>
          </cell>
          <cell r="J222" t="str">
            <v>Yes</v>
          </cell>
          <cell r="L222" t="str">
            <v>No</v>
          </cell>
          <cell r="M222">
            <v>6</v>
          </cell>
        </row>
        <row r="223">
          <cell r="A223" t="str">
            <v>CMP-1264</v>
          </cell>
          <cell r="H223" t="str">
            <v>No</v>
          </cell>
          <cell r="J223" t="str">
            <v>Yes</v>
          </cell>
          <cell r="L223" t="str">
            <v>Yes</v>
          </cell>
          <cell r="M223" t="str">
            <v/>
          </cell>
        </row>
        <row r="224">
          <cell r="A224" t="str">
            <v>CMP-1230</v>
          </cell>
          <cell r="H224" t="str">
            <v>No</v>
          </cell>
          <cell r="J224" t="str">
            <v>No</v>
          </cell>
          <cell r="L224" t="str">
            <v>No</v>
          </cell>
          <cell r="M224">
            <v>10</v>
          </cell>
        </row>
        <row r="225">
          <cell r="A225" t="str">
            <v>CMP-1168</v>
          </cell>
          <cell r="H225" t="str">
            <v>Yes</v>
          </cell>
          <cell r="J225" t="str">
            <v>No</v>
          </cell>
          <cell r="L225" t="str">
            <v>No</v>
          </cell>
          <cell r="M225">
            <v>20</v>
          </cell>
        </row>
        <row r="226">
          <cell r="A226" t="str">
            <v>CMP-1085</v>
          </cell>
          <cell r="H226" t="str">
            <v>No</v>
          </cell>
          <cell r="J226" t="str">
            <v>Yes</v>
          </cell>
          <cell r="L226" t="str">
            <v>No</v>
          </cell>
          <cell r="M226">
            <v>15</v>
          </cell>
        </row>
        <row r="227">
          <cell r="A227" t="str">
            <v>CMP-1274</v>
          </cell>
          <cell r="H227" t="str">
            <v>Yes</v>
          </cell>
          <cell r="J227" t="str">
            <v>No</v>
          </cell>
          <cell r="L227" t="str">
            <v>No</v>
          </cell>
          <cell r="M227">
            <v>15</v>
          </cell>
        </row>
        <row r="228">
          <cell r="A228" t="str">
            <v>CMP-1051</v>
          </cell>
          <cell r="H228" t="str">
            <v>No</v>
          </cell>
          <cell r="J228" t="str">
            <v>No</v>
          </cell>
          <cell r="L228" t="str">
            <v>No</v>
          </cell>
          <cell r="M228">
            <v>2</v>
          </cell>
        </row>
        <row r="229">
          <cell r="A229" t="str">
            <v>CMP-1256</v>
          </cell>
          <cell r="H229" t="str">
            <v>No</v>
          </cell>
          <cell r="J229" t="str">
            <v>No</v>
          </cell>
          <cell r="L229" t="str">
            <v>No</v>
          </cell>
          <cell r="M229">
            <v>3</v>
          </cell>
        </row>
        <row r="230">
          <cell r="A230" t="str">
            <v>CMP-1027</v>
          </cell>
          <cell r="H230" t="str">
            <v>Yes</v>
          </cell>
          <cell r="J230" t="str">
            <v>Yes</v>
          </cell>
          <cell r="L230" t="str">
            <v>No</v>
          </cell>
          <cell r="M230">
            <v>9</v>
          </cell>
        </row>
        <row r="231">
          <cell r="A231" t="str">
            <v>CMP-1273</v>
          </cell>
          <cell r="H231" t="str">
            <v>No</v>
          </cell>
          <cell r="J231" t="str">
            <v>No</v>
          </cell>
          <cell r="L231" t="str">
            <v>No</v>
          </cell>
          <cell r="M231">
            <v>6</v>
          </cell>
        </row>
        <row r="232">
          <cell r="A232" t="str">
            <v>CMP-1085</v>
          </cell>
          <cell r="H232" t="str">
            <v>Yes</v>
          </cell>
          <cell r="J232" t="str">
            <v>Yes</v>
          </cell>
          <cell r="L232" t="str">
            <v>No</v>
          </cell>
          <cell r="M232">
            <v>10</v>
          </cell>
        </row>
        <row r="233">
          <cell r="A233" t="str">
            <v>CMP-1022</v>
          </cell>
          <cell r="H233" t="str">
            <v>No</v>
          </cell>
          <cell r="J233" t="str">
            <v>Yes</v>
          </cell>
          <cell r="L233" t="str">
            <v>No</v>
          </cell>
          <cell r="M233">
            <v>4</v>
          </cell>
        </row>
        <row r="234">
          <cell r="A234" t="str">
            <v>CMP-1034</v>
          </cell>
          <cell r="H234" t="str">
            <v>No</v>
          </cell>
          <cell r="J234" t="str">
            <v>Yes</v>
          </cell>
          <cell r="L234" t="str">
            <v>No</v>
          </cell>
          <cell r="M234">
            <v>11</v>
          </cell>
        </row>
        <row r="235">
          <cell r="A235" t="str">
            <v>CMP-1115</v>
          </cell>
          <cell r="H235" t="str">
            <v>No</v>
          </cell>
          <cell r="J235" t="str">
            <v>Yes</v>
          </cell>
          <cell r="L235" t="str">
            <v>No</v>
          </cell>
          <cell r="M235">
            <v>3</v>
          </cell>
        </row>
        <row r="236">
          <cell r="A236" t="str">
            <v>CMP-1212</v>
          </cell>
          <cell r="H236" t="str">
            <v>No</v>
          </cell>
          <cell r="J236" t="str">
            <v>No</v>
          </cell>
          <cell r="L236" t="str">
            <v>No</v>
          </cell>
          <cell r="M236">
            <v>13</v>
          </cell>
        </row>
        <row r="237">
          <cell r="A237" t="str">
            <v>CMP-1104</v>
          </cell>
          <cell r="H237" t="str">
            <v>No</v>
          </cell>
          <cell r="J237" t="str">
            <v>No</v>
          </cell>
          <cell r="L237" t="str">
            <v>No</v>
          </cell>
          <cell r="M237">
            <v>2</v>
          </cell>
        </row>
        <row r="238">
          <cell r="A238" t="str">
            <v>CMP-1145</v>
          </cell>
          <cell r="H238" t="str">
            <v>Yes</v>
          </cell>
          <cell r="J238" t="str">
            <v>No</v>
          </cell>
          <cell r="L238" t="str">
            <v>No</v>
          </cell>
          <cell r="M238">
            <v>6</v>
          </cell>
        </row>
        <row r="239">
          <cell r="A239" t="str">
            <v>CMP-1154</v>
          </cell>
          <cell r="H239" t="str">
            <v>Yes</v>
          </cell>
          <cell r="J239" t="str">
            <v>No</v>
          </cell>
          <cell r="L239" t="str">
            <v>No</v>
          </cell>
          <cell r="M239">
            <v>7</v>
          </cell>
        </row>
        <row r="240">
          <cell r="A240" t="str">
            <v>CMP-1018</v>
          </cell>
          <cell r="H240" t="str">
            <v>No</v>
          </cell>
          <cell r="J240" t="str">
            <v>Yes</v>
          </cell>
          <cell r="L240" t="str">
            <v>No</v>
          </cell>
          <cell r="M240">
            <v>16</v>
          </cell>
        </row>
        <row r="241">
          <cell r="A241" t="str">
            <v>CMP-1044</v>
          </cell>
          <cell r="H241" t="str">
            <v>No</v>
          </cell>
          <cell r="J241" t="str">
            <v>No</v>
          </cell>
          <cell r="L241" t="str">
            <v>No</v>
          </cell>
          <cell r="M241">
            <v>1</v>
          </cell>
        </row>
        <row r="242">
          <cell r="A242" t="str">
            <v>CMP-1010</v>
          </cell>
          <cell r="H242" t="str">
            <v>No</v>
          </cell>
          <cell r="J242" t="str">
            <v>Yes</v>
          </cell>
          <cell r="L242" t="str">
            <v>No</v>
          </cell>
          <cell r="M242">
            <v>6</v>
          </cell>
        </row>
        <row r="243">
          <cell r="A243" t="str">
            <v>CMP-1083</v>
          </cell>
          <cell r="H243" t="str">
            <v>No</v>
          </cell>
          <cell r="J243" t="str">
            <v>No</v>
          </cell>
          <cell r="L243" t="str">
            <v>No</v>
          </cell>
          <cell r="M243">
            <v>7</v>
          </cell>
        </row>
        <row r="244">
          <cell r="A244" t="str">
            <v>CMP-1237</v>
          </cell>
          <cell r="H244" t="str">
            <v>Yes</v>
          </cell>
          <cell r="J244" t="str">
            <v>Yes</v>
          </cell>
          <cell r="L244" t="str">
            <v>No</v>
          </cell>
          <cell r="M244">
            <v>20</v>
          </cell>
        </row>
        <row r="245">
          <cell r="A245" t="str">
            <v>CMP-1081</v>
          </cell>
          <cell r="H245" t="str">
            <v>No</v>
          </cell>
          <cell r="J245" t="str">
            <v>No</v>
          </cell>
          <cell r="L245" t="str">
            <v>No</v>
          </cell>
          <cell r="M245">
            <v>7</v>
          </cell>
        </row>
        <row r="246">
          <cell r="A246" t="str">
            <v>CMP-1185</v>
          </cell>
          <cell r="H246" t="str">
            <v>No</v>
          </cell>
          <cell r="J246" t="str">
            <v>No</v>
          </cell>
          <cell r="L246" t="str">
            <v>No</v>
          </cell>
          <cell r="M246">
            <v>18</v>
          </cell>
        </row>
        <row r="247">
          <cell r="A247" t="str">
            <v>CMP-1157</v>
          </cell>
          <cell r="H247" t="str">
            <v>No</v>
          </cell>
          <cell r="J247" t="str">
            <v>No</v>
          </cell>
          <cell r="L247" t="str">
            <v>Yes</v>
          </cell>
          <cell r="M247" t="str">
            <v/>
          </cell>
        </row>
        <row r="248">
          <cell r="A248" t="str">
            <v>CMP-1070</v>
          </cell>
          <cell r="H248" t="str">
            <v>Yes</v>
          </cell>
          <cell r="J248" t="str">
            <v>Yes</v>
          </cell>
          <cell r="L248" t="str">
            <v>No</v>
          </cell>
          <cell r="M248">
            <v>5</v>
          </cell>
        </row>
        <row r="249">
          <cell r="A249" t="str">
            <v>CMP-1055</v>
          </cell>
          <cell r="H249" t="str">
            <v>No</v>
          </cell>
          <cell r="J249" t="str">
            <v>No</v>
          </cell>
          <cell r="L249" t="str">
            <v>No</v>
          </cell>
          <cell r="M249">
            <v>17</v>
          </cell>
        </row>
        <row r="250">
          <cell r="A250" t="str">
            <v>CMP-1279</v>
          </cell>
          <cell r="H250" t="str">
            <v>Yes</v>
          </cell>
          <cell r="J250" t="str">
            <v>No</v>
          </cell>
          <cell r="L250" t="str">
            <v>No</v>
          </cell>
          <cell r="M250">
            <v>3</v>
          </cell>
        </row>
        <row r="251">
          <cell r="A251" t="str">
            <v>CMP-1140</v>
          </cell>
          <cell r="H251" t="str">
            <v>No</v>
          </cell>
          <cell r="J251" t="str">
            <v>Yes</v>
          </cell>
          <cell r="L251" t="str">
            <v>No</v>
          </cell>
          <cell r="M251">
            <v>10</v>
          </cell>
        </row>
        <row r="252">
          <cell r="A252" t="str">
            <v>CMP-1141</v>
          </cell>
          <cell r="H252" t="str">
            <v>No</v>
          </cell>
          <cell r="J252" t="str">
            <v>No</v>
          </cell>
          <cell r="L252" t="str">
            <v>No</v>
          </cell>
          <cell r="M252">
            <v>17</v>
          </cell>
        </row>
        <row r="253">
          <cell r="A253" t="str">
            <v>CMP-1241</v>
          </cell>
          <cell r="H253" t="str">
            <v>No</v>
          </cell>
          <cell r="J253" t="str">
            <v>No</v>
          </cell>
          <cell r="L253" t="str">
            <v>No</v>
          </cell>
          <cell r="M253">
            <v>11</v>
          </cell>
        </row>
        <row r="254">
          <cell r="A254" t="str">
            <v>CMP-1025</v>
          </cell>
          <cell r="H254" t="str">
            <v>No</v>
          </cell>
          <cell r="J254" t="str">
            <v>Yes</v>
          </cell>
          <cell r="L254" t="str">
            <v>No</v>
          </cell>
          <cell r="M254">
            <v>12</v>
          </cell>
        </row>
        <row r="255">
          <cell r="A255" t="str">
            <v>CMP-1139</v>
          </cell>
          <cell r="H255" t="str">
            <v>No</v>
          </cell>
          <cell r="J255" t="str">
            <v>No</v>
          </cell>
          <cell r="L255" t="str">
            <v>No</v>
          </cell>
          <cell r="M255">
            <v>17</v>
          </cell>
        </row>
        <row r="256">
          <cell r="A256" t="str">
            <v>CMP-1142</v>
          </cell>
          <cell r="H256" t="str">
            <v>Yes</v>
          </cell>
          <cell r="J256" t="str">
            <v>Yes</v>
          </cell>
          <cell r="L256" t="str">
            <v>Yes</v>
          </cell>
          <cell r="M256" t="str">
            <v/>
          </cell>
        </row>
        <row r="257">
          <cell r="A257" t="str">
            <v>CMP-1158</v>
          </cell>
          <cell r="H257" t="str">
            <v>Yes</v>
          </cell>
          <cell r="J257" t="str">
            <v>No</v>
          </cell>
          <cell r="L257" t="str">
            <v>Yes</v>
          </cell>
          <cell r="M257" t="str">
            <v/>
          </cell>
        </row>
        <row r="258">
          <cell r="A258" t="str">
            <v>CMP-1231</v>
          </cell>
          <cell r="H258" t="str">
            <v>Yes</v>
          </cell>
          <cell r="J258" t="str">
            <v>No</v>
          </cell>
          <cell r="L258" t="str">
            <v>No</v>
          </cell>
          <cell r="M258">
            <v>2</v>
          </cell>
        </row>
        <row r="259">
          <cell r="A259" t="str">
            <v>CMP-1010</v>
          </cell>
          <cell r="H259" t="str">
            <v>No</v>
          </cell>
          <cell r="J259" t="str">
            <v>Yes</v>
          </cell>
          <cell r="L259" t="str">
            <v>No</v>
          </cell>
          <cell r="M259">
            <v>10</v>
          </cell>
        </row>
        <row r="260">
          <cell r="A260" t="str">
            <v>CMP-1292</v>
          </cell>
          <cell r="H260" t="str">
            <v>No</v>
          </cell>
          <cell r="J260" t="str">
            <v>Yes</v>
          </cell>
          <cell r="L260" t="str">
            <v>No</v>
          </cell>
          <cell r="M260">
            <v>14</v>
          </cell>
        </row>
        <row r="261">
          <cell r="A261" t="str">
            <v>CMP-1066</v>
          </cell>
          <cell r="H261" t="str">
            <v>No</v>
          </cell>
          <cell r="J261" t="str">
            <v>No</v>
          </cell>
          <cell r="L261" t="str">
            <v>No</v>
          </cell>
          <cell r="M261">
            <v>10</v>
          </cell>
        </row>
        <row r="262">
          <cell r="A262" t="str">
            <v>CMP-1282</v>
          </cell>
          <cell r="H262" t="str">
            <v>No</v>
          </cell>
          <cell r="J262" t="str">
            <v>No</v>
          </cell>
          <cell r="L262" t="str">
            <v>No</v>
          </cell>
          <cell r="M262">
            <v>1</v>
          </cell>
        </row>
        <row r="263">
          <cell r="A263" t="str">
            <v>CMP-1026</v>
          </cell>
          <cell r="H263" t="str">
            <v>No</v>
          </cell>
          <cell r="J263" t="str">
            <v>No</v>
          </cell>
          <cell r="L263" t="str">
            <v>No</v>
          </cell>
          <cell r="M263">
            <v>1</v>
          </cell>
        </row>
        <row r="264">
          <cell r="A264" t="str">
            <v>CMP-1300</v>
          </cell>
          <cell r="H264" t="str">
            <v>Yes</v>
          </cell>
          <cell r="J264" t="str">
            <v>Yes</v>
          </cell>
          <cell r="L264" t="str">
            <v>Yes</v>
          </cell>
          <cell r="M264" t="str">
            <v/>
          </cell>
        </row>
        <row r="265">
          <cell r="A265" t="str">
            <v>CMP-1282</v>
          </cell>
          <cell r="H265" t="str">
            <v>No</v>
          </cell>
          <cell r="J265" t="str">
            <v>No</v>
          </cell>
          <cell r="L265" t="str">
            <v>Yes</v>
          </cell>
          <cell r="M265" t="str">
            <v/>
          </cell>
        </row>
        <row r="266">
          <cell r="A266" t="str">
            <v>CMP-1060</v>
          </cell>
          <cell r="H266" t="str">
            <v>Yes</v>
          </cell>
          <cell r="J266" t="str">
            <v>No</v>
          </cell>
          <cell r="L266" t="str">
            <v>Yes</v>
          </cell>
          <cell r="M266" t="str">
            <v/>
          </cell>
        </row>
        <row r="267">
          <cell r="A267" t="str">
            <v>CMP-1016</v>
          </cell>
          <cell r="H267" t="str">
            <v>Yes</v>
          </cell>
          <cell r="J267" t="str">
            <v>Yes</v>
          </cell>
          <cell r="L267" t="str">
            <v>No</v>
          </cell>
          <cell r="M267">
            <v>18</v>
          </cell>
        </row>
        <row r="268">
          <cell r="A268" t="str">
            <v>CMP-1210</v>
          </cell>
          <cell r="H268" t="str">
            <v>No</v>
          </cell>
          <cell r="J268" t="str">
            <v>No</v>
          </cell>
          <cell r="L268" t="str">
            <v>No</v>
          </cell>
          <cell r="M268">
            <v>11</v>
          </cell>
        </row>
        <row r="269">
          <cell r="A269" t="str">
            <v>CMP-1147</v>
          </cell>
          <cell r="H269" t="str">
            <v>Yes</v>
          </cell>
          <cell r="J269" t="str">
            <v>Yes</v>
          </cell>
          <cell r="L269" t="str">
            <v>No</v>
          </cell>
          <cell r="M269">
            <v>3</v>
          </cell>
        </row>
        <row r="270">
          <cell r="A270" t="str">
            <v>CMP-1282</v>
          </cell>
          <cell r="H270" t="str">
            <v>Yes</v>
          </cell>
          <cell r="J270" t="str">
            <v>No</v>
          </cell>
          <cell r="L270" t="str">
            <v>No</v>
          </cell>
          <cell r="M270">
            <v>19</v>
          </cell>
        </row>
        <row r="271">
          <cell r="A271" t="str">
            <v>CMP-1050</v>
          </cell>
          <cell r="H271" t="str">
            <v>Yes</v>
          </cell>
          <cell r="J271" t="str">
            <v>No</v>
          </cell>
          <cell r="L271" t="str">
            <v>No</v>
          </cell>
          <cell r="M271">
            <v>19</v>
          </cell>
        </row>
        <row r="272">
          <cell r="A272" t="str">
            <v>CMP-1250</v>
          </cell>
          <cell r="H272" t="str">
            <v>No</v>
          </cell>
          <cell r="J272" t="str">
            <v>No</v>
          </cell>
          <cell r="L272" t="str">
            <v>No</v>
          </cell>
          <cell r="M272">
            <v>4</v>
          </cell>
        </row>
        <row r="273">
          <cell r="A273" t="str">
            <v>CMP-1132</v>
          </cell>
          <cell r="H273" t="str">
            <v>Yes</v>
          </cell>
          <cell r="J273" t="str">
            <v>Yes</v>
          </cell>
          <cell r="L273" t="str">
            <v>No</v>
          </cell>
          <cell r="M273">
            <v>9</v>
          </cell>
        </row>
        <row r="274">
          <cell r="A274" t="str">
            <v>CMP-1029</v>
          </cell>
          <cell r="H274" t="str">
            <v>No</v>
          </cell>
          <cell r="J274" t="str">
            <v>No</v>
          </cell>
          <cell r="L274" t="str">
            <v>No</v>
          </cell>
          <cell r="M274">
            <v>17</v>
          </cell>
        </row>
        <row r="275">
          <cell r="A275" t="str">
            <v>CMP-1223</v>
          </cell>
          <cell r="H275" t="str">
            <v>No</v>
          </cell>
          <cell r="J275" t="str">
            <v>Yes</v>
          </cell>
          <cell r="L275" t="str">
            <v>No</v>
          </cell>
          <cell r="M275">
            <v>18</v>
          </cell>
        </row>
        <row r="276">
          <cell r="A276" t="str">
            <v>CMP-1200</v>
          </cell>
          <cell r="H276" t="str">
            <v>No</v>
          </cell>
          <cell r="J276" t="str">
            <v>Yes</v>
          </cell>
          <cell r="L276" t="str">
            <v>No</v>
          </cell>
          <cell r="M276">
            <v>6</v>
          </cell>
        </row>
        <row r="277">
          <cell r="A277" t="str">
            <v>CMP-1165</v>
          </cell>
          <cell r="H277" t="str">
            <v>Yes</v>
          </cell>
          <cell r="J277" t="str">
            <v>No</v>
          </cell>
          <cell r="L277" t="str">
            <v>No</v>
          </cell>
          <cell r="M277">
            <v>9</v>
          </cell>
        </row>
        <row r="278">
          <cell r="A278" t="str">
            <v>CMP-1144</v>
          </cell>
          <cell r="H278" t="str">
            <v>No</v>
          </cell>
          <cell r="J278" t="str">
            <v>No</v>
          </cell>
          <cell r="L278" t="str">
            <v>No</v>
          </cell>
          <cell r="M278">
            <v>13</v>
          </cell>
        </row>
        <row r="279">
          <cell r="A279" t="str">
            <v>CMP-1135</v>
          </cell>
          <cell r="H279" t="str">
            <v>No</v>
          </cell>
          <cell r="J279" t="str">
            <v>No</v>
          </cell>
          <cell r="L279" t="str">
            <v>No</v>
          </cell>
          <cell r="M279">
            <v>8</v>
          </cell>
        </row>
        <row r="280">
          <cell r="A280" t="str">
            <v>CMP-1239</v>
          </cell>
          <cell r="H280" t="str">
            <v>No</v>
          </cell>
          <cell r="J280" t="str">
            <v>Yes</v>
          </cell>
          <cell r="L280" t="str">
            <v>No</v>
          </cell>
          <cell r="M280">
            <v>9</v>
          </cell>
        </row>
        <row r="281">
          <cell r="A281" t="str">
            <v>CMP-1066</v>
          </cell>
          <cell r="H281" t="str">
            <v>No</v>
          </cell>
          <cell r="J281" t="str">
            <v>Yes</v>
          </cell>
          <cell r="L281" t="str">
            <v>No</v>
          </cell>
          <cell r="M281">
            <v>16</v>
          </cell>
        </row>
        <row r="282">
          <cell r="A282" t="str">
            <v>CMP-1200</v>
          </cell>
          <cell r="H282" t="str">
            <v>Yes</v>
          </cell>
          <cell r="J282" t="str">
            <v>No</v>
          </cell>
          <cell r="L282" t="str">
            <v>No</v>
          </cell>
          <cell r="M282">
            <v>4</v>
          </cell>
        </row>
        <row r="283">
          <cell r="A283" t="str">
            <v>CMP-1050</v>
          </cell>
          <cell r="H283" t="str">
            <v>No</v>
          </cell>
          <cell r="J283" t="str">
            <v>Yes</v>
          </cell>
          <cell r="L283" t="str">
            <v>No</v>
          </cell>
          <cell r="M283">
            <v>3</v>
          </cell>
        </row>
        <row r="284">
          <cell r="A284" t="str">
            <v>CMP-1237</v>
          </cell>
          <cell r="H284" t="str">
            <v>No</v>
          </cell>
          <cell r="J284" t="str">
            <v>No</v>
          </cell>
          <cell r="L284" t="str">
            <v>No</v>
          </cell>
          <cell r="M284">
            <v>7</v>
          </cell>
        </row>
        <row r="285">
          <cell r="A285" t="str">
            <v>CMP-1186</v>
          </cell>
          <cell r="H285" t="str">
            <v>No</v>
          </cell>
          <cell r="J285" t="str">
            <v>No</v>
          </cell>
          <cell r="L285" t="str">
            <v>No</v>
          </cell>
          <cell r="M285">
            <v>2</v>
          </cell>
        </row>
        <row r="286">
          <cell r="A286" t="str">
            <v>CMP-1178</v>
          </cell>
          <cell r="H286" t="str">
            <v>No</v>
          </cell>
          <cell r="J286" t="str">
            <v>No</v>
          </cell>
          <cell r="L286" t="str">
            <v>No</v>
          </cell>
          <cell r="M286">
            <v>14</v>
          </cell>
        </row>
        <row r="287">
          <cell r="A287" t="str">
            <v>CMP-1278</v>
          </cell>
          <cell r="H287" t="str">
            <v>No</v>
          </cell>
          <cell r="J287" t="str">
            <v>Yes</v>
          </cell>
          <cell r="L287" t="str">
            <v>No</v>
          </cell>
          <cell r="M287">
            <v>10</v>
          </cell>
        </row>
        <row r="288">
          <cell r="A288" t="str">
            <v>CMP-1072</v>
          </cell>
          <cell r="H288" t="str">
            <v>Yes</v>
          </cell>
          <cell r="J288" t="str">
            <v>No</v>
          </cell>
          <cell r="L288" t="str">
            <v>No</v>
          </cell>
          <cell r="M288">
            <v>3</v>
          </cell>
        </row>
        <row r="289">
          <cell r="A289" t="str">
            <v>CMP-1079</v>
          </cell>
          <cell r="H289" t="str">
            <v>Yes</v>
          </cell>
          <cell r="J289" t="str">
            <v>No</v>
          </cell>
          <cell r="L289" t="str">
            <v>Yes</v>
          </cell>
          <cell r="M289" t="str">
            <v/>
          </cell>
        </row>
        <row r="290">
          <cell r="A290" t="str">
            <v>CMP-1296</v>
          </cell>
          <cell r="H290" t="str">
            <v>No</v>
          </cell>
          <cell r="J290" t="str">
            <v>Yes</v>
          </cell>
          <cell r="L290" t="str">
            <v>No</v>
          </cell>
          <cell r="M290">
            <v>20</v>
          </cell>
        </row>
        <row r="291">
          <cell r="A291" t="str">
            <v>CMP-1191</v>
          </cell>
          <cell r="H291" t="str">
            <v>No</v>
          </cell>
          <cell r="J291" t="str">
            <v>No</v>
          </cell>
          <cell r="L291" t="str">
            <v>No</v>
          </cell>
          <cell r="M291">
            <v>18</v>
          </cell>
        </row>
        <row r="292">
          <cell r="A292" t="str">
            <v>CMP-1165</v>
          </cell>
          <cell r="H292" t="str">
            <v>No</v>
          </cell>
          <cell r="J292" t="str">
            <v>No</v>
          </cell>
          <cell r="L292" t="str">
            <v>No</v>
          </cell>
          <cell r="M292">
            <v>4</v>
          </cell>
        </row>
        <row r="293">
          <cell r="A293" t="str">
            <v>CMP-1183</v>
          </cell>
          <cell r="H293" t="str">
            <v>Yes</v>
          </cell>
          <cell r="J293" t="str">
            <v>No</v>
          </cell>
          <cell r="L293" t="str">
            <v>No</v>
          </cell>
          <cell r="M293">
            <v>6</v>
          </cell>
        </row>
        <row r="294">
          <cell r="A294" t="str">
            <v>CMP-1167</v>
          </cell>
          <cell r="H294" t="str">
            <v>Yes</v>
          </cell>
          <cell r="J294" t="str">
            <v>No</v>
          </cell>
          <cell r="L294" t="str">
            <v>Yes</v>
          </cell>
          <cell r="M294" t="str">
            <v/>
          </cell>
        </row>
        <row r="295">
          <cell r="A295" t="str">
            <v>CMP-1253</v>
          </cell>
          <cell r="H295" t="str">
            <v>Yes</v>
          </cell>
          <cell r="J295" t="str">
            <v>No</v>
          </cell>
          <cell r="L295" t="str">
            <v>No</v>
          </cell>
          <cell r="M295">
            <v>11</v>
          </cell>
        </row>
        <row r="296">
          <cell r="A296" t="str">
            <v>CMP-1077</v>
          </cell>
          <cell r="H296" t="str">
            <v>No</v>
          </cell>
          <cell r="J296" t="str">
            <v>Yes</v>
          </cell>
          <cell r="L296" t="str">
            <v>No</v>
          </cell>
          <cell r="M296">
            <v>5</v>
          </cell>
        </row>
        <row r="297">
          <cell r="A297" t="str">
            <v>CMP-1205</v>
          </cell>
          <cell r="H297" t="str">
            <v>No</v>
          </cell>
          <cell r="J297" t="str">
            <v>Yes</v>
          </cell>
          <cell r="L297" t="str">
            <v>Yes</v>
          </cell>
          <cell r="M297" t="str">
            <v/>
          </cell>
        </row>
        <row r="298">
          <cell r="A298" t="str">
            <v>CMP-1111</v>
          </cell>
          <cell r="H298" t="str">
            <v>Yes</v>
          </cell>
          <cell r="J298" t="str">
            <v>No</v>
          </cell>
          <cell r="L298" t="str">
            <v>No</v>
          </cell>
          <cell r="M298">
            <v>4</v>
          </cell>
        </row>
        <row r="299">
          <cell r="A299" t="str">
            <v>CMP-1268</v>
          </cell>
          <cell r="H299" t="str">
            <v>Yes</v>
          </cell>
          <cell r="J299" t="str">
            <v>No</v>
          </cell>
          <cell r="L299" t="str">
            <v>No</v>
          </cell>
          <cell r="M299">
            <v>4</v>
          </cell>
        </row>
        <row r="300">
          <cell r="A300" t="str">
            <v>CMP-1115</v>
          </cell>
          <cell r="H300" t="str">
            <v>No</v>
          </cell>
          <cell r="J300" t="str">
            <v>No</v>
          </cell>
          <cell r="L300" t="str">
            <v>No</v>
          </cell>
          <cell r="M300">
            <v>7</v>
          </cell>
        </row>
        <row r="301">
          <cell r="A301" t="str">
            <v>CMP-1180</v>
          </cell>
          <cell r="H301" t="str">
            <v>Yes</v>
          </cell>
          <cell r="J301" t="str">
            <v>No</v>
          </cell>
          <cell r="L301" t="str">
            <v>No</v>
          </cell>
          <cell r="M301">
            <v>8</v>
          </cell>
        </row>
        <row r="302">
          <cell r="A302" t="str">
            <v>CMP-1177</v>
          </cell>
          <cell r="H302" t="str">
            <v>No</v>
          </cell>
          <cell r="J302" t="str">
            <v>No</v>
          </cell>
          <cell r="L302" t="str">
            <v>No</v>
          </cell>
          <cell r="M302">
            <v>6</v>
          </cell>
        </row>
        <row r="303">
          <cell r="A303" t="str">
            <v>CMP-1094</v>
          </cell>
          <cell r="H303" t="str">
            <v>Yes</v>
          </cell>
          <cell r="J303" t="str">
            <v>No</v>
          </cell>
          <cell r="L303" t="str">
            <v>No</v>
          </cell>
          <cell r="M303">
            <v>2</v>
          </cell>
        </row>
        <row r="304">
          <cell r="A304" t="str">
            <v>CMP-1035</v>
          </cell>
          <cell r="H304" t="str">
            <v>No</v>
          </cell>
          <cell r="J304" t="str">
            <v>Yes</v>
          </cell>
          <cell r="L304" t="str">
            <v>Yes</v>
          </cell>
          <cell r="M304" t="str">
            <v/>
          </cell>
        </row>
        <row r="305">
          <cell r="A305" t="str">
            <v>CMP-1063</v>
          </cell>
          <cell r="H305" t="str">
            <v>No</v>
          </cell>
          <cell r="J305" t="str">
            <v>No</v>
          </cell>
          <cell r="L305" t="str">
            <v>No</v>
          </cell>
          <cell r="M305">
            <v>18</v>
          </cell>
        </row>
        <row r="306">
          <cell r="A306" t="str">
            <v>CMP-1047</v>
          </cell>
          <cell r="H306" t="str">
            <v>No</v>
          </cell>
          <cell r="J306" t="str">
            <v>No</v>
          </cell>
          <cell r="L306" t="str">
            <v>No</v>
          </cell>
          <cell r="M306">
            <v>12</v>
          </cell>
        </row>
        <row r="307">
          <cell r="A307" t="str">
            <v>CMP-1294</v>
          </cell>
          <cell r="H307" t="str">
            <v>No</v>
          </cell>
          <cell r="J307" t="str">
            <v>Yes</v>
          </cell>
          <cell r="L307" t="str">
            <v>No</v>
          </cell>
          <cell r="M307">
            <v>14</v>
          </cell>
        </row>
        <row r="308">
          <cell r="A308" t="str">
            <v>CMP-1052</v>
          </cell>
          <cell r="H308" t="str">
            <v>Yes</v>
          </cell>
          <cell r="J308" t="str">
            <v>Yes</v>
          </cell>
          <cell r="L308" t="str">
            <v>No</v>
          </cell>
          <cell r="M308">
            <v>6</v>
          </cell>
        </row>
        <row r="309">
          <cell r="A309" t="str">
            <v>CMP-1209</v>
          </cell>
          <cell r="H309" t="str">
            <v>Yes</v>
          </cell>
          <cell r="J309" t="str">
            <v>Yes</v>
          </cell>
          <cell r="L309" t="str">
            <v>No</v>
          </cell>
          <cell r="M309">
            <v>3</v>
          </cell>
        </row>
        <row r="310">
          <cell r="A310" t="str">
            <v>CMP-1084</v>
          </cell>
          <cell r="H310" t="str">
            <v>No</v>
          </cell>
          <cell r="J310" t="str">
            <v>No</v>
          </cell>
          <cell r="L310" t="str">
            <v>No</v>
          </cell>
          <cell r="M310">
            <v>19</v>
          </cell>
        </row>
        <row r="311">
          <cell r="A311" t="str">
            <v>CMP-1111</v>
          </cell>
          <cell r="H311" t="str">
            <v>No</v>
          </cell>
          <cell r="J311" t="str">
            <v>Yes</v>
          </cell>
          <cell r="L311" t="str">
            <v>No</v>
          </cell>
          <cell r="M311">
            <v>19</v>
          </cell>
        </row>
        <row r="312">
          <cell r="A312" t="str">
            <v>CMP-1087</v>
          </cell>
          <cell r="H312" t="str">
            <v>No</v>
          </cell>
          <cell r="J312" t="str">
            <v>No</v>
          </cell>
          <cell r="L312" t="str">
            <v>No</v>
          </cell>
          <cell r="M312">
            <v>16</v>
          </cell>
        </row>
        <row r="313">
          <cell r="A313" t="str">
            <v>CMP-1046</v>
          </cell>
          <cell r="H313" t="str">
            <v>No</v>
          </cell>
          <cell r="J313" t="str">
            <v>Yes</v>
          </cell>
          <cell r="L313" t="str">
            <v>No</v>
          </cell>
          <cell r="M313">
            <v>2</v>
          </cell>
        </row>
        <row r="314">
          <cell r="A314" t="str">
            <v>CMP-1265</v>
          </cell>
          <cell r="H314" t="str">
            <v>No</v>
          </cell>
          <cell r="J314" t="str">
            <v>No</v>
          </cell>
          <cell r="L314" t="str">
            <v>No</v>
          </cell>
          <cell r="M314">
            <v>7</v>
          </cell>
        </row>
        <row r="315">
          <cell r="A315" t="str">
            <v>CMP-1033</v>
          </cell>
          <cell r="H315" t="str">
            <v>Yes</v>
          </cell>
          <cell r="J315" t="str">
            <v>No</v>
          </cell>
          <cell r="L315" t="str">
            <v>No</v>
          </cell>
          <cell r="M315">
            <v>3</v>
          </cell>
        </row>
        <row r="316">
          <cell r="A316" t="str">
            <v>CMP-1276</v>
          </cell>
          <cell r="H316" t="str">
            <v>Yes</v>
          </cell>
          <cell r="J316" t="str">
            <v>No</v>
          </cell>
          <cell r="L316" t="str">
            <v>No</v>
          </cell>
          <cell r="M316">
            <v>13</v>
          </cell>
        </row>
        <row r="317">
          <cell r="A317" t="str">
            <v>CMP-1062</v>
          </cell>
          <cell r="H317" t="str">
            <v>No</v>
          </cell>
          <cell r="J317" t="str">
            <v>No</v>
          </cell>
          <cell r="L317" t="str">
            <v>No</v>
          </cell>
          <cell r="M317">
            <v>10</v>
          </cell>
        </row>
        <row r="318">
          <cell r="A318" t="str">
            <v>CMP-1096</v>
          </cell>
          <cell r="H318" t="str">
            <v>No</v>
          </cell>
          <cell r="J318" t="str">
            <v>No</v>
          </cell>
          <cell r="L318" t="str">
            <v>No</v>
          </cell>
          <cell r="M318">
            <v>3</v>
          </cell>
        </row>
        <row r="319">
          <cell r="A319" t="str">
            <v>CMP-1143</v>
          </cell>
          <cell r="H319" t="str">
            <v>Yes</v>
          </cell>
          <cell r="J319" t="str">
            <v>Yes</v>
          </cell>
          <cell r="L319" t="str">
            <v>No</v>
          </cell>
          <cell r="M319">
            <v>8</v>
          </cell>
        </row>
        <row r="320">
          <cell r="A320" t="str">
            <v>CMP-1167</v>
          </cell>
          <cell r="H320" t="str">
            <v>No</v>
          </cell>
          <cell r="J320" t="str">
            <v>No</v>
          </cell>
          <cell r="L320" t="str">
            <v>No</v>
          </cell>
          <cell r="M320">
            <v>11</v>
          </cell>
        </row>
        <row r="321">
          <cell r="A321" t="str">
            <v>CMP-1252</v>
          </cell>
          <cell r="H321" t="str">
            <v>No</v>
          </cell>
          <cell r="J321" t="str">
            <v>No</v>
          </cell>
          <cell r="L321" t="str">
            <v>No</v>
          </cell>
          <cell r="M321">
            <v>13</v>
          </cell>
        </row>
        <row r="322">
          <cell r="A322" t="str">
            <v>CMP-1046</v>
          </cell>
          <cell r="H322" t="str">
            <v>Yes</v>
          </cell>
          <cell r="J322" t="str">
            <v>Yes</v>
          </cell>
          <cell r="L322" t="str">
            <v>No</v>
          </cell>
          <cell r="M322">
            <v>20</v>
          </cell>
        </row>
        <row r="323">
          <cell r="A323" t="str">
            <v>CMP-1006</v>
          </cell>
          <cell r="H323" t="str">
            <v>No</v>
          </cell>
          <cell r="J323" t="str">
            <v>Yes</v>
          </cell>
          <cell r="L323" t="str">
            <v>No</v>
          </cell>
          <cell r="M323">
            <v>1</v>
          </cell>
        </row>
        <row r="324">
          <cell r="A324" t="str">
            <v>CMP-1230</v>
          </cell>
          <cell r="H324" t="str">
            <v>Yes</v>
          </cell>
          <cell r="J324" t="str">
            <v>No</v>
          </cell>
          <cell r="L324" t="str">
            <v>No</v>
          </cell>
          <cell r="M324">
            <v>1</v>
          </cell>
        </row>
        <row r="325">
          <cell r="A325" t="str">
            <v>CMP-1251</v>
          </cell>
          <cell r="H325" t="str">
            <v>No</v>
          </cell>
          <cell r="J325" t="str">
            <v>Yes</v>
          </cell>
          <cell r="L325" t="str">
            <v>No</v>
          </cell>
          <cell r="M325">
            <v>11</v>
          </cell>
        </row>
        <row r="326">
          <cell r="A326" t="str">
            <v>CMP-1017</v>
          </cell>
          <cell r="H326" t="str">
            <v>No</v>
          </cell>
          <cell r="J326" t="str">
            <v>No</v>
          </cell>
          <cell r="L326" t="str">
            <v>No</v>
          </cell>
          <cell r="M326">
            <v>6</v>
          </cell>
        </row>
        <row r="327">
          <cell r="A327" t="str">
            <v>CMP-1270</v>
          </cell>
          <cell r="H327" t="str">
            <v>No</v>
          </cell>
          <cell r="J327" t="str">
            <v>Yes</v>
          </cell>
          <cell r="L327" t="str">
            <v>No</v>
          </cell>
          <cell r="M327">
            <v>7</v>
          </cell>
        </row>
        <row r="328">
          <cell r="A328" t="str">
            <v>CMP-1150</v>
          </cell>
          <cell r="H328" t="str">
            <v>No</v>
          </cell>
          <cell r="J328" t="str">
            <v>No</v>
          </cell>
          <cell r="L328" t="str">
            <v>No</v>
          </cell>
          <cell r="M328">
            <v>15</v>
          </cell>
        </row>
        <row r="329">
          <cell r="A329" t="str">
            <v>CMP-1072</v>
          </cell>
          <cell r="H329" t="str">
            <v>No</v>
          </cell>
          <cell r="J329" t="str">
            <v>No</v>
          </cell>
          <cell r="L329" t="str">
            <v>Yes</v>
          </cell>
          <cell r="M329" t="str">
            <v/>
          </cell>
        </row>
        <row r="330">
          <cell r="A330" t="str">
            <v>CMP-1230</v>
          </cell>
          <cell r="H330" t="str">
            <v>Yes</v>
          </cell>
          <cell r="J330" t="str">
            <v>Yes</v>
          </cell>
          <cell r="L330" t="str">
            <v>No</v>
          </cell>
          <cell r="M330">
            <v>3</v>
          </cell>
        </row>
        <row r="331">
          <cell r="A331" t="str">
            <v>CMP-1081</v>
          </cell>
          <cell r="H331" t="str">
            <v>No</v>
          </cell>
          <cell r="J331" t="str">
            <v>Yes</v>
          </cell>
          <cell r="L331" t="str">
            <v>No</v>
          </cell>
          <cell r="M331">
            <v>20</v>
          </cell>
        </row>
        <row r="332">
          <cell r="A332" t="str">
            <v>CMP-1218</v>
          </cell>
          <cell r="H332" t="str">
            <v>No</v>
          </cell>
          <cell r="J332" t="str">
            <v>No</v>
          </cell>
          <cell r="L332" t="str">
            <v>No</v>
          </cell>
          <cell r="M332">
            <v>15</v>
          </cell>
        </row>
        <row r="333">
          <cell r="A333" t="str">
            <v>CMP-1036</v>
          </cell>
          <cell r="H333" t="str">
            <v>Yes</v>
          </cell>
          <cell r="J333" t="str">
            <v>No</v>
          </cell>
          <cell r="L333" t="str">
            <v>No</v>
          </cell>
          <cell r="M333">
            <v>18</v>
          </cell>
        </row>
        <row r="334">
          <cell r="A334" t="str">
            <v>CMP-1048</v>
          </cell>
          <cell r="H334" t="str">
            <v>No</v>
          </cell>
          <cell r="J334" t="str">
            <v>No</v>
          </cell>
          <cell r="L334" t="str">
            <v>No</v>
          </cell>
          <cell r="M334">
            <v>5</v>
          </cell>
        </row>
        <row r="335">
          <cell r="A335" t="str">
            <v>CMP-1276</v>
          </cell>
          <cell r="H335" t="str">
            <v>Yes</v>
          </cell>
          <cell r="J335" t="str">
            <v>No</v>
          </cell>
          <cell r="L335" t="str">
            <v>Yes</v>
          </cell>
          <cell r="M335" t="str">
            <v/>
          </cell>
        </row>
        <row r="336">
          <cell r="A336" t="str">
            <v>CMP-1009</v>
          </cell>
          <cell r="H336" t="str">
            <v>Yes</v>
          </cell>
          <cell r="J336" t="str">
            <v>No</v>
          </cell>
          <cell r="L336" t="str">
            <v>No</v>
          </cell>
          <cell r="M336">
            <v>14</v>
          </cell>
        </row>
        <row r="337">
          <cell r="A337" t="str">
            <v>CMP-1137</v>
          </cell>
          <cell r="H337" t="str">
            <v>No</v>
          </cell>
          <cell r="J337" t="str">
            <v>Yes</v>
          </cell>
          <cell r="L337" t="str">
            <v>No</v>
          </cell>
          <cell r="M337">
            <v>9</v>
          </cell>
        </row>
        <row r="338">
          <cell r="A338" t="str">
            <v>CMP-1084</v>
          </cell>
          <cell r="H338" t="str">
            <v>No</v>
          </cell>
          <cell r="J338" t="str">
            <v>No</v>
          </cell>
          <cell r="L338" t="str">
            <v>No</v>
          </cell>
          <cell r="M338">
            <v>6</v>
          </cell>
        </row>
        <row r="339">
          <cell r="A339" t="str">
            <v>CMP-1160</v>
          </cell>
          <cell r="H339" t="str">
            <v>No</v>
          </cell>
          <cell r="J339" t="str">
            <v>No</v>
          </cell>
          <cell r="L339" t="str">
            <v>No</v>
          </cell>
          <cell r="M339">
            <v>13</v>
          </cell>
        </row>
        <row r="340">
          <cell r="A340" t="str">
            <v>CMP-1180</v>
          </cell>
          <cell r="H340" t="str">
            <v>Yes</v>
          </cell>
          <cell r="J340" t="str">
            <v>Yes</v>
          </cell>
          <cell r="L340" t="str">
            <v>No</v>
          </cell>
          <cell r="M340">
            <v>10</v>
          </cell>
        </row>
        <row r="341">
          <cell r="A341" t="str">
            <v>CMP-1094</v>
          </cell>
          <cell r="H341" t="str">
            <v>No</v>
          </cell>
          <cell r="J341" t="str">
            <v>No</v>
          </cell>
          <cell r="L341" t="str">
            <v>Yes</v>
          </cell>
          <cell r="M341" t="str">
            <v/>
          </cell>
        </row>
        <row r="342">
          <cell r="A342" t="str">
            <v>CMP-1235</v>
          </cell>
          <cell r="H342" t="str">
            <v>Yes</v>
          </cell>
          <cell r="J342" t="str">
            <v>No</v>
          </cell>
          <cell r="L342" t="str">
            <v>No</v>
          </cell>
          <cell r="M342">
            <v>15</v>
          </cell>
        </row>
        <row r="343">
          <cell r="A343" t="str">
            <v>CMP-1296</v>
          </cell>
          <cell r="H343" t="str">
            <v>No</v>
          </cell>
          <cell r="J343" t="str">
            <v>No</v>
          </cell>
          <cell r="L343" t="str">
            <v>No</v>
          </cell>
          <cell r="M343">
            <v>12</v>
          </cell>
        </row>
        <row r="344">
          <cell r="A344" t="str">
            <v>CMP-1136</v>
          </cell>
          <cell r="H344" t="str">
            <v>Yes</v>
          </cell>
          <cell r="J344" t="str">
            <v>Yes</v>
          </cell>
          <cell r="L344" t="str">
            <v>Yes</v>
          </cell>
          <cell r="M344" t="str">
            <v/>
          </cell>
        </row>
        <row r="345">
          <cell r="A345" t="str">
            <v>CMP-1006</v>
          </cell>
          <cell r="H345" t="str">
            <v>Yes</v>
          </cell>
          <cell r="J345" t="str">
            <v>Yes</v>
          </cell>
          <cell r="L345" t="str">
            <v>No</v>
          </cell>
          <cell r="M345">
            <v>20</v>
          </cell>
        </row>
        <row r="346">
          <cell r="A346" t="str">
            <v>CMP-1204</v>
          </cell>
          <cell r="H346" t="str">
            <v>No</v>
          </cell>
          <cell r="J346" t="str">
            <v>No</v>
          </cell>
          <cell r="L346" t="str">
            <v>No</v>
          </cell>
          <cell r="M346">
            <v>3</v>
          </cell>
        </row>
        <row r="347">
          <cell r="A347" t="str">
            <v>CMP-1293</v>
          </cell>
          <cell r="H347" t="str">
            <v>Yes</v>
          </cell>
          <cell r="J347" t="str">
            <v>No</v>
          </cell>
          <cell r="L347" t="str">
            <v>No</v>
          </cell>
          <cell r="M347">
            <v>19</v>
          </cell>
        </row>
        <row r="348">
          <cell r="A348" t="str">
            <v>CMP-1291</v>
          </cell>
          <cell r="H348" t="str">
            <v>No</v>
          </cell>
          <cell r="J348" t="str">
            <v>Yes</v>
          </cell>
          <cell r="L348" t="str">
            <v>No</v>
          </cell>
          <cell r="M348">
            <v>17</v>
          </cell>
        </row>
        <row r="349">
          <cell r="A349" t="str">
            <v>CMP-1279</v>
          </cell>
          <cell r="H349" t="str">
            <v>No</v>
          </cell>
          <cell r="J349" t="str">
            <v>No</v>
          </cell>
          <cell r="L349" t="str">
            <v>No</v>
          </cell>
          <cell r="M349">
            <v>17</v>
          </cell>
        </row>
        <row r="350">
          <cell r="A350" t="str">
            <v>CMP-1105</v>
          </cell>
          <cell r="H350" t="str">
            <v>Yes</v>
          </cell>
          <cell r="J350" t="str">
            <v>No</v>
          </cell>
          <cell r="L350" t="str">
            <v>Yes</v>
          </cell>
          <cell r="M350" t="str">
            <v/>
          </cell>
        </row>
        <row r="351">
          <cell r="A351" t="str">
            <v>CMP-1019</v>
          </cell>
          <cell r="H351" t="str">
            <v>Yes</v>
          </cell>
          <cell r="J351" t="str">
            <v>Yes</v>
          </cell>
          <cell r="L351" t="str">
            <v>No</v>
          </cell>
          <cell r="M351">
            <v>7</v>
          </cell>
        </row>
        <row r="352">
          <cell r="A352" t="str">
            <v>CMP-1180</v>
          </cell>
          <cell r="H352" t="str">
            <v>No</v>
          </cell>
          <cell r="J352" t="str">
            <v>Yes</v>
          </cell>
          <cell r="L352" t="str">
            <v>No</v>
          </cell>
          <cell r="M352">
            <v>14</v>
          </cell>
        </row>
        <row r="353">
          <cell r="A353" t="str">
            <v>CMP-1140</v>
          </cell>
          <cell r="H353" t="str">
            <v>Yes</v>
          </cell>
          <cell r="J353" t="str">
            <v>No</v>
          </cell>
          <cell r="L353" t="str">
            <v>No</v>
          </cell>
          <cell r="M353">
            <v>13</v>
          </cell>
        </row>
        <row r="354">
          <cell r="A354" t="str">
            <v>CMP-1242</v>
          </cell>
          <cell r="H354" t="str">
            <v>No</v>
          </cell>
          <cell r="J354" t="str">
            <v>Yes</v>
          </cell>
          <cell r="L354" t="str">
            <v>No</v>
          </cell>
          <cell r="M354">
            <v>17</v>
          </cell>
        </row>
        <row r="355">
          <cell r="A355" t="str">
            <v>CMP-1164</v>
          </cell>
          <cell r="H355" t="str">
            <v>No</v>
          </cell>
          <cell r="J355" t="str">
            <v>No</v>
          </cell>
          <cell r="L355" t="str">
            <v>No</v>
          </cell>
          <cell r="M355">
            <v>16</v>
          </cell>
        </row>
        <row r="356">
          <cell r="A356" t="str">
            <v>CMP-1053</v>
          </cell>
          <cell r="H356" t="str">
            <v>Yes</v>
          </cell>
          <cell r="J356" t="str">
            <v>No</v>
          </cell>
          <cell r="L356" t="str">
            <v>Yes</v>
          </cell>
          <cell r="M356" t="str">
            <v/>
          </cell>
        </row>
        <row r="357">
          <cell r="A357" t="str">
            <v>CMP-1114</v>
          </cell>
          <cell r="H357" t="str">
            <v>Yes</v>
          </cell>
          <cell r="J357" t="str">
            <v>No</v>
          </cell>
          <cell r="L357" t="str">
            <v>No</v>
          </cell>
          <cell r="M357">
            <v>12</v>
          </cell>
        </row>
        <row r="358">
          <cell r="A358" t="str">
            <v>CMP-1144</v>
          </cell>
          <cell r="H358" t="str">
            <v>No</v>
          </cell>
          <cell r="J358" t="str">
            <v>No</v>
          </cell>
          <cell r="L358" t="str">
            <v>No</v>
          </cell>
          <cell r="M358">
            <v>9</v>
          </cell>
        </row>
        <row r="359">
          <cell r="A359" t="str">
            <v>CMP-1294</v>
          </cell>
          <cell r="H359" t="str">
            <v>No</v>
          </cell>
          <cell r="J359" t="str">
            <v>No</v>
          </cell>
          <cell r="L359" t="str">
            <v>No</v>
          </cell>
          <cell r="M359">
            <v>2</v>
          </cell>
        </row>
        <row r="360">
          <cell r="A360" t="str">
            <v>CMP-1266</v>
          </cell>
          <cell r="H360" t="str">
            <v>Yes</v>
          </cell>
          <cell r="J360" t="str">
            <v>Yes</v>
          </cell>
          <cell r="L360" t="str">
            <v>No</v>
          </cell>
          <cell r="M360">
            <v>8</v>
          </cell>
        </row>
        <row r="361">
          <cell r="A361" t="str">
            <v>CMP-1297</v>
          </cell>
          <cell r="H361" t="str">
            <v>No</v>
          </cell>
          <cell r="J361" t="str">
            <v>No</v>
          </cell>
          <cell r="L361" t="str">
            <v>No</v>
          </cell>
          <cell r="M361">
            <v>18</v>
          </cell>
        </row>
        <row r="362">
          <cell r="A362" t="str">
            <v>CMP-1001</v>
          </cell>
          <cell r="H362" t="str">
            <v>Yes</v>
          </cell>
          <cell r="J362" t="str">
            <v>Yes</v>
          </cell>
          <cell r="L362" t="str">
            <v>No</v>
          </cell>
          <cell r="M362">
            <v>13</v>
          </cell>
        </row>
        <row r="363">
          <cell r="A363" t="str">
            <v>CMP-1062</v>
          </cell>
          <cell r="H363" t="str">
            <v>Yes</v>
          </cell>
          <cell r="J363" t="str">
            <v>No</v>
          </cell>
          <cell r="L363" t="str">
            <v>No</v>
          </cell>
          <cell r="M363">
            <v>18</v>
          </cell>
        </row>
        <row r="364">
          <cell r="A364" t="str">
            <v>CMP-1102</v>
          </cell>
          <cell r="H364" t="str">
            <v>No</v>
          </cell>
          <cell r="J364" t="str">
            <v>Yes</v>
          </cell>
          <cell r="L364" t="str">
            <v>No</v>
          </cell>
          <cell r="M364">
            <v>12</v>
          </cell>
        </row>
        <row r="365">
          <cell r="A365" t="str">
            <v>CMP-1139</v>
          </cell>
          <cell r="H365" t="str">
            <v>No</v>
          </cell>
          <cell r="J365" t="str">
            <v>Yes</v>
          </cell>
          <cell r="L365" t="str">
            <v>No</v>
          </cell>
          <cell r="M365">
            <v>7</v>
          </cell>
        </row>
        <row r="366">
          <cell r="A366" t="str">
            <v>CMP-1168</v>
          </cell>
          <cell r="H366" t="str">
            <v>Yes</v>
          </cell>
          <cell r="J366" t="str">
            <v>No</v>
          </cell>
          <cell r="L366" t="str">
            <v>No</v>
          </cell>
          <cell r="M366">
            <v>3</v>
          </cell>
        </row>
        <row r="367">
          <cell r="A367" t="str">
            <v>CMP-1128</v>
          </cell>
          <cell r="H367" t="str">
            <v>No</v>
          </cell>
          <cell r="J367" t="str">
            <v>No</v>
          </cell>
          <cell r="L367" t="str">
            <v>No</v>
          </cell>
          <cell r="M367">
            <v>17</v>
          </cell>
        </row>
        <row r="368">
          <cell r="A368" t="str">
            <v>CMP-1094</v>
          </cell>
          <cell r="H368" t="str">
            <v>No</v>
          </cell>
          <cell r="J368" t="str">
            <v>No</v>
          </cell>
          <cell r="L368" t="str">
            <v>No</v>
          </cell>
          <cell r="M368">
            <v>9</v>
          </cell>
        </row>
        <row r="369">
          <cell r="A369" t="str">
            <v>CMP-1290</v>
          </cell>
          <cell r="H369" t="str">
            <v>Yes</v>
          </cell>
          <cell r="J369" t="str">
            <v>No</v>
          </cell>
          <cell r="L369" t="str">
            <v>Yes</v>
          </cell>
          <cell r="M369" t="str">
            <v/>
          </cell>
        </row>
        <row r="370">
          <cell r="A370" t="str">
            <v>CMP-1245</v>
          </cell>
          <cell r="H370" t="str">
            <v>Yes</v>
          </cell>
          <cell r="J370" t="str">
            <v>Yes</v>
          </cell>
          <cell r="L370" t="str">
            <v>No</v>
          </cell>
          <cell r="M370">
            <v>5</v>
          </cell>
        </row>
        <row r="371">
          <cell r="A371" t="str">
            <v>CMP-1206</v>
          </cell>
          <cell r="H371" t="str">
            <v>Yes</v>
          </cell>
          <cell r="J371" t="str">
            <v>Yes</v>
          </cell>
          <cell r="L371" t="str">
            <v>No</v>
          </cell>
          <cell r="M371">
            <v>15</v>
          </cell>
        </row>
        <row r="372">
          <cell r="A372" t="str">
            <v>CMP-1046</v>
          </cell>
          <cell r="H372" t="str">
            <v>No</v>
          </cell>
          <cell r="J372" t="str">
            <v>No</v>
          </cell>
          <cell r="L372" t="str">
            <v>No</v>
          </cell>
          <cell r="M372">
            <v>5</v>
          </cell>
        </row>
        <row r="373">
          <cell r="A373" t="str">
            <v>CMP-1023</v>
          </cell>
          <cell r="H373" t="str">
            <v>Yes</v>
          </cell>
          <cell r="J373" t="str">
            <v>No</v>
          </cell>
          <cell r="L373" t="str">
            <v>No</v>
          </cell>
          <cell r="M373">
            <v>19</v>
          </cell>
        </row>
        <row r="374">
          <cell r="A374" t="str">
            <v>CMP-1040</v>
          </cell>
          <cell r="H374" t="str">
            <v>No</v>
          </cell>
          <cell r="J374" t="str">
            <v>No</v>
          </cell>
          <cell r="L374" t="str">
            <v>No</v>
          </cell>
          <cell r="M374">
            <v>11</v>
          </cell>
        </row>
        <row r="375">
          <cell r="A375" t="str">
            <v>CMP-1278</v>
          </cell>
          <cell r="H375" t="str">
            <v>Yes</v>
          </cell>
          <cell r="J375" t="str">
            <v>Yes</v>
          </cell>
          <cell r="L375" t="str">
            <v>No</v>
          </cell>
          <cell r="M375">
            <v>15</v>
          </cell>
        </row>
        <row r="376">
          <cell r="A376" t="str">
            <v>CMP-1208</v>
          </cell>
          <cell r="H376" t="str">
            <v>No</v>
          </cell>
          <cell r="J376" t="str">
            <v>No</v>
          </cell>
          <cell r="L376" t="str">
            <v>No</v>
          </cell>
          <cell r="M376">
            <v>3</v>
          </cell>
        </row>
        <row r="377">
          <cell r="A377" t="str">
            <v>CMP-1166</v>
          </cell>
          <cell r="H377" t="str">
            <v>No</v>
          </cell>
          <cell r="J377" t="str">
            <v>Yes</v>
          </cell>
          <cell r="L377" t="str">
            <v>No</v>
          </cell>
          <cell r="M377">
            <v>14</v>
          </cell>
        </row>
        <row r="378">
          <cell r="A378" t="str">
            <v>CMP-1159</v>
          </cell>
          <cell r="H378" t="str">
            <v>Yes</v>
          </cell>
          <cell r="J378" t="str">
            <v>No</v>
          </cell>
          <cell r="L378" t="str">
            <v>No</v>
          </cell>
          <cell r="M378">
            <v>15</v>
          </cell>
        </row>
        <row r="379">
          <cell r="A379" t="str">
            <v>CMP-1251</v>
          </cell>
          <cell r="H379" t="str">
            <v>Yes</v>
          </cell>
          <cell r="J379" t="str">
            <v>Yes</v>
          </cell>
          <cell r="L379" t="str">
            <v>No</v>
          </cell>
          <cell r="M379">
            <v>4</v>
          </cell>
        </row>
        <row r="380">
          <cell r="A380" t="str">
            <v>CMP-1100</v>
          </cell>
          <cell r="H380" t="str">
            <v>No</v>
          </cell>
          <cell r="J380" t="str">
            <v>No</v>
          </cell>
          <cell r="L380" t="str">
            <v>Yes</v>
          </cell>
          <cell r="M380" t="str">
            <v/>
          </cell>
        </row>
        <row r="381">
          <cell r="A381" t="str">
            <v>CMP-1033</v>
          </cell>
          <cell r="H381" t="str">
            <v>No</v>
          </cell>
          <cell r="J381" t="str">
            <v>No</v>
          </cell>
          <cell r="L381" t="str">
            <v>No</v>
          </cell>
          <cell r="M381">
            <v>4</v>
          </cell>
        </row>
        <row r="382">
          <cell r="A382" t="str">
            <v>CMP-1135</v>
          </cell>
          <cell r="H382" t="str">
            <v>Yes</v>
          </cell>
          <cell r="J382" t="str">
            <v>Yes</v>
          </cell>
          <cell r="L382" t="str">
            <v>No</v>
          </cell>
          <cell r="M382">
            <v>18</v>
          </cell>
        </row>
        <row r="383">
          <cell r="A383" t="str">
            <v>CMP-1289</v>
          </cell>
          <cell r="H383" t="str">
            <v>Yes</v>
          </cell>
          <cell r="J383" t="str">
            <v>Yes</v>
          </cell>
          <cell r="L383" t="str">
            <v>Yes</v>
          </cell>
          <cell r="M383" t="str">
            <v/>
          </cell>
        </row>
        <row r="384">
          <cell r="A384" t="str">
            <v>CMP-1114</v>
          </cell>
          <cell r="H384" t="str">
            <v>No</v>
          </cell>
          <cell r="J384" t="str">
            <v>No</v>
          </cell>
          <cell r="L384" t="str">
            <v>No</v>
          </cell>
          <cell r="M384">
            <v>5</v>
          </cell>
        </row>
        <row r="385">
          <cell r="A385" t="str">
            <v>CMP-1032</v>
          </cell>
          <cell r="H385" t="str">
            <v>No</v>
          </cell>
          <cell r="J385" t="str">
            <v>No</v>
          </cell>
          <cell r="L385" t="str">
            <v>No</v>
          </cell>
          <cell r="M385">
            <v>9</v>
          </cell>
        </row>
        <row r="386">
          <cell r="A386" t="str">
            <v>CMP-1004</v>
          </cell>
          <cell r="H386" t="str">
            <v>No</v>
          </cell>
          <cell r="J386" t="str">
            <v>No</v>
          </cell>
          <cell r="L386" t="str">
            <v>No</v>
          </cell>
          <cell r="M386">
            <v>19</v>
          </cell>
        </row>
        <row r="387">
          <cell r="A387" t="str">
            <v>CMP-1144</v>
          </cell>
          <cell r="H387" t="str">
            <v>No</v>
          </cell>
          <cell r="J387" t="str">
            <v>Yes</v>
          </cell>
          <cell r="L387" t="str">
            <v>No</v>
          </cell>
          <cell r="M387">
            <v>4</v>
          </cell>
        </row>
        <row r="388">
          <cell r="A388" t="str">
            <v>CMP-1140</v>
          </cell>
          <cell r="H388" t="str">
            <v>No</v>
          </cell>
          <cell r="J388" t="str">
            <v>No</v>
          </cell>
          <cell r="L388" t="str">
            <v>No</v>
          </cell>
          <cell r="M388">
            <v>8</v>
          </cell>
        </row>
        <row r="389">
          <cell r="A389" t="str">
            <v>CMP-1035</v>
          </cell>
          <cell r="H389" t="str">
            <v>Yes</v>
          </cell>
          <cell r="J389" t="str">
            <v>Yes</v>
          </cell>
          <cell r="L389" t="str">
            <v>Yes</v>
          </cell>
          <cell r="M389" t="str">
            <v/>
          </cell>
        </row>
        <row r="390">
          <cell r="A390" t="str">
            <v>CMP-1234</v>
          </cell>
          <cell r="H390" t="str">
            <v>No</v>
          </cell>
          <cell r="J390" t="str">
            <v>No</v>
          </cell>
          <cell r="L390" t="str">
            <v>No</v>
          </cell>
          <cell r="M390">
            <v>11</v>
          </cell>
        </row>
        <row r="391">
          <cell r="A391" t="str">
            <v>CMP-1042</v>
          </cell>
          <cell r="H391" t="str">
            <v>No</v>
          </cell>
          <cell r="J391" t="str">
            <v>Yes</v>
          </cell>
          <cell r="L391" t="str">
            <v>No</v>
          </cell>
          <cell r="M391">
            <v>15</v>
          </cell>
        </row>
        <row r="392">
          <cell r="A392" t="str">
            <v>CMP-1270</v>
          </cell>
          <cell r="H392" t="str">
            <v>No</v>
          </cell>
          <cell r="J392" t="str">
            <v>No</v>
          </cell>
          <cell r="L392" t="str">
            <v>No</v>
          </cell>
          <cell r="M392">
            <v>17</v>
          </cell>
        </row>
        <row r="393">
          <cell r="A393" t="str">
            <v>CMP-1013</v>
          </cell>
          <cell r="H393" t="str">
            <v>Yes</v>
          </cell>
          <cell r="J393" t="str">
            <v>Yes</v>
          </cell>
          <cell r="L393" t="str">
            <v>No</v>
          </cell>
          <cell r="M393">
            <v>12</v>
          </cell>
        </row>
        <row r="394">
          <cell r="A394" t="str">
            <v>CMP-1131</v>
          </cell>
          <cell r="H394" t="str">
            <v>No</v>
          </cell>
          <cell r="J394" t="str">
            <v>Yes</v>
          </cell>
          <cell r="L394" t="str">
            <v>No</v>
          </cell>
          <cell r="M394">
            <v>16</v>
          </cell>
        </row>
        <row r="395">
          <cell r="A395" t="str">
            <v>CMP-1166</v>
          </cell>
          <cell r="H395" t="str">
            <v>Yes</v>
          </cell>
          <cell r="J395" t="str">
            <v>No</v>
          </cell>
          <cell r="L395" t="str">
            <v>No</v>
          </cell>
          <cell r="M395">
            <v>7</v>
          </cell>
        </row>
        <row r="396">
          <cell r="A396" t="str">
            <v>CMP-1047</v>
          </cell>
          <cell r="H396" t="str">
            <v>No</v>
          </cell>
          <cell r="J396" t="str">
            <v>Yes</v>
          </cell>
          <cell r="L396" t="str">
            <v>No</v>
          </cell>
          <cell r="M396">
            <v>12</v>
          </cell>
        </row>
        <row r="397">
          <cell r="A397" t="str">
            <v>CMP-1077</v>
          </cell>
          <cell r="H397" t="str">
            <v>Yes</v>
          </cell>
          <cell r="J397" t="str">
            <v>Yes</v>
          </cell>
          <cell r="L397" t="str">
            <v>Yes</v>
          </cell>
          <cell r="M397" t="str">
            <v/>
          </cell>
        </row>
        <row r="398">
          <cell r="A398" t="str">
            <v>CMP-1100</v>
          </cell>
          <cell r="H398" t="str">
            <v>No</v>
          </cell>
          <cell r="J398" t="str">
            <v>No</v>
          </cell>
          <cell r="L398" t="str">
            <v>No</v>
          </cell>
          <cell r="M398">
            <v>4</v>
          </cell>
        </row>
        <row r="399">
          <cell r="A399" t="str">
            <v>CMP-1150</v>
          </cell>
          <cell r="H399" t="str">
            <v>No</v>
          </cell>
          <cell r="J399" t="str">
            <v>No</v>
          </cell>
          <cell r="L399" t="str">
            <v>Yes</v>
          </cell>
          <cell r="M399" t="str">
            <v/>
          </cell>
        </row>
        <row r="400">
          <cell r="A400" t="str">
            <v>CMP-1169</v>
          </cell>
          <cell r="H400" t="str">
            <v>No</v>
          </cell>
          <cell r="J400" t="str">
            <v>Yes</v>
          </cell>
          <cell r="L400" t="str">
            <v>No</v>
          </cell>
          <cell r="M400">
            <v>2</v>
          </cell>
        </row>
        <row r="401">
          <cell r="A401" t="str">
            <v>CMP-1157</v>
          </cell>
          <cell r="H401" t="str">
            <v>Yes</v>
          </cell>
          <cell r="J401" t="str">
            <v>No</v>
          </cell>
          <cell r="L401" t="str">
            <v>No</v>
          </cell>
          <cell r="M401">
            <v>19</v>
          </cell>
        </row>
        <row r="402">
          <cell r="A402" t="str">
            <v>CMP-1287</v>
          </cell>
          <cell r="H402" t="str">
            <v>Yes</v>
          </cell>
          <cell r="J402" t="str">
            <v>No</v>
          </cell>
          <cell r="L402" t="str">
            <v>No</v>
          </cell>
          <cell r="M402">
            <v>1</v>
          </cell>
        </row>
        <row r="403">
          <cell r="A403" t="str">
            <v>CMP-1185</v>
          </cell>
          <cell r="H403" t="str">
            <v>Yes</v>
          </cell>
          <cell r="J403" t="str">
            <v>No</v>
          </cell>
          <cell r="L403" t="str">
            <v>No</v>
          </cell>
          <cell r="M403">
            <v>20</v>
          </cell>
        </row>
        <row r="404">
          <cell r="A404" t="str">
            <v>CMP-1045</v>
          </cell>
          <cell r="H404" t="str">
            <v>No</v>
          </cell>
          <cell r="J404" t="str">
            <v>No</v>
          </cell>
          <cell r="L404" t="str">
            <v>No</v>
          </cell>
          <cell r="M404">
            <v>1</v>
          </cell>
        </row>
        <row r="405">
          <cell r="A405" t="str">
            <v>CMP-1074</v>
          </cell>
          <cell r="H405" t="str">
            <v>No</v>
          </cell>
          <cell r="J405" t="str">
            <v>No</v>
          </cell>
          <cell r="L405" t="str">
            <v>Yes</v>
          </cell>
          <cell r="M405" t="str">
            <v/>
          </cell>
        </row>
        <row r="406">
          <cell r="A406" t="str">
            <v>CMP-1227</v>
          </cell>
          <cell r="H406" t="str">
            <v>Yes</v>
          </cell>
          <cell r="J406" t="str">
            <v>No</v>
          </cell>
          <cell r="L406" t="str">
            <v>Yes</v>
          </cell>
          <cell r="M406" t="str">
            <v/>
          </cell>
        </row>
        <row r="407">
          <cell r="A407" t="str">
            <v>CMP-1221</v>
          </cell>
          <cell r="H407" t="str">
            <v>No</v>
          </cell>
          <cell r="J407" t="str">
            <v>No</v>
          </cell>
          <cell r="L407" t="str">
            <v>No</v>
          </cell>
          <cell r="M407">
            <v>9</v>
          </cell>
        </row>
        <row r="408">
          <cell r="A408" t="str">
            <v>CMP-1225</v>
          </cell>
          <cell r="H408" t="str">
            <v>No</v>
          </cell>
          <cell r="J408" t="str">
            <v>No</v>
          </cell>
          <cell r="L408" t="str">
            <v>No</v>
          </cell>
          <cell r="M408">
            <v>6</v>
          </cell>
        </row>
        <row r="409">
          <cell r="A409" t="str">
            <v>CMP-1083</v>
          </cell>
          <cell r="H409" t="str">
            <v>No</v>
          </cell>
          <cell r="J409" t="str">
            <v>No</v>
          </cell>
          <cell r="L409" t="str">
            <v>No</v>
          </cell>
          <cell r="M409">
            <v>12</v>
          </cell>
        </row>
        <row r="410">
          <cell r="A410" t="str">
            <v>CMP-1295</v>
          </cell>
          <cell r="H410" t="str">
            <v>Yes</v>
          </cell>
          <cell r="J410" t="str">
            <v>No</v>
          </cell>
          <cell r="L410" t="str">
            <v>Yes</v>
          </cell>
          <cell r="M410" t="str">
            <v/>
          </cell>
        </row>
        <row r="411">
          <cell r="A411" t="str">
            <v>CMP-1188</v>
          </cell>
          <cell r="H411" t="str">
            <v>Yes</v>
          </cell>
          <cell r="J411" t="str">
            <v>No</v>
          </cell>
          <cell r="L411" t="str">
            <v>No</v>
          </cell>
          <cell r="M411">
            <v>12</v>
          </cell>
        </row>
        <row r="412">
          <cell r="A412" t="str">
            <v>CMP-1163</v>
          </cell>
          <cell r="H412" t="str">
            <v>No</v>
          </cell>
          <cell r="J412" t="str">
            <v>Yes</v>
          </cell>
          <cell r="L412" t="str">
            <v>No</v>
          </cell>
          <cell r="M412">
            <v>14</v>
          </cell>
        </row>
        <row r="413">
          <cell r="A413" t="str">
            <v>CMP-1007</v>
          </cell>
          <cell r="H413" t="str">
            <v>No</v>
          </cell>
          <cell r="J413" t="str">
            <v>Yes</v>
          </cell>
          <cell r="L413" t="str">
            <v>No</v>
          </cell>
          <cell r="M413">
            <v>15</v>
          </cell>
        </row>
        <row r="414">
          <cell r="A414" t="str">
            <v>CMP-1104</v>
          </cell>
          <cell r="H414" t="str">
            <v>Yes</v>
          </cell>
          <cell r="J414" t="str">
            <v>No</v>
          </cell>
          <cell r="L414" t="str">
            <v>No</v>
          </cell>
          <cell r="M414">
            <v>11</v>
          </cell>
        </row>
        <row r="415">
          <cell r="A415" t="str">
            <v>CMP-1062</v>
          </cell>
          <cell r="H415" t="str">
            <v>Yes</v>
          </cell>
          <cell r="J415" t="str">
            <v>Yes</v>
          </cell>
          <cell r="L415" t="str">
            <v>No</v>
          </cell>
          <cell r="M415">
            <v>18</v>
          </cell>
        </row>
        <row r="416">
          <cell r="A416" t="str">
            <v>CMP-1195</v>
          </cell>
          <cell r="H416" t="str">
            <v>No</v>
          </cell>
          <cell r="J416" t="str">
            <v>No</v>
          </cell>
          <cell r="L416" t="str">
            <v>No</v>
          </cell>
          <cell r="M416">
            <v>4</v>
          </cell>
        </row>
        <row r="417">
          <cell r="A417" t="str">
            <v>CMP-1286</v>
          </cell>
          <cell r="H417" t="str">
            <v>No</v>
          </cell>
          <cell r="J417" t="str">
            <v>No</v>
          </cell>
          <cell r="L417" t="str">
            <v>No</v>
          </cell>
          <cell r="M417">
            <v>10</v>
          </cell>
        </row>
        <row r="418">
          <cell r="A418" t="str">
            <v>CMP-1288</v>
          </cell>
          <cell r="H418" t="str">
            <v>Yes</v>
          </cell>
          <cell r="J418" t="str">
            <v>No</v>
          </cell>
          <cell r="L418" t="str">
            <v>No</v>
          </cell>
          <cell r="M418">
            <v>9</v>
          </cell>
        </row>
        <row r="419">
          <cell r="A419" t="str">
            <v>CMP-1069</v>
          </cell>
          <cell r="H419" t="str">
            <v>Yes</v>
          </cell>
          <cell r="J419" t="str">
            <v>No</v>
          </cell>
          <cell r="L419" t="str">
            <v>No</v>
          </cell>
          <cell r="M419">
            <v>11</v>
          </cell>
        </row>
        <row r="420">
          <cell r="A420" t="str">
            <v>CMP-1253</v>
          </cell>
          <cell r="H420" t="str">
            <v>No</v>
          </cell>
          <cell r="J420" t="str">
            <v>No</v>
          </cell>
          <cell r="L420" t="str">
            <v>No</v>
          </cell>
          <cell r="M420">
            <v>19</v>
          </cell>
        </row>
        <row r="421">
          <cell r="A421" t="str">
            <v>CMP-1048</v>
          </cell>
          <cell r="H421" t="str">
            <v>Yes</v>
          </cell>
          <cell r="J421" t="str">
            <v>No</v>
          </cell>
          <cell r="L421" t="str">
            <v>Yes</v>
          </cell>
          <cell r="M421" t="str">
            <v/>
          </cell>
        </row>
        <row r="422">
          <cell r="A422" t="str">
            <v>CMP-1287</v>
          </cell>
          <cell r="H422" t="str">
            <v>No</v>
          </cell>
          <cell r="J422" t="str">
            <v>Yes</v>
          </cell>
          <cell r="L422" t="str">
            <v>Yes</v>
          </cell>
          <cell r="M422" t="str">
            <v/>
          </cell>
        </row>
        <row r="423">
          <cell r="A423" t="str">
            <v>CMP-1009</v>
          </cell>
          <cell r="H423" t="str">
            <v>No</v>
          </cell>
          <cell r="J423" t="str">
            <v>Yes</v>
          </cell>
          <cell r="L423" t="str">
            <v>No</v>
          </cell>
          <cell r="M423">
            <v>12</v>
          </cell>
        </row>
        <row r="424">
          <cell r="A424" t="str">
            <v>CMP-1126</v>
          </cell>
          <cell r="H424" t="str">
            <v>No</v>
          </cell>
          <cell r="J424" t="str">
            <v>No</v>
          </cell>
          <cell r="L424" t="str">
            <v>No</v>
          </cell>
          <cell r="M424">
            <v>19</v>
          </cell>
        </row>
        <row r="425">
          <cell r="A425" t="str">
            <v>CMP-1083</v>
          </cell>
          <cell r="H425" t="str">
            <v>Yes</v>
          </cell>
          <cell r="J425" t="str">
            <v>No</v>
          </cell>
          <cell r="L425" t="str">
            <v>Yes</v>
          </cell>
          <cell r="M425" t="str">
            <v/>
          </cell>
        </row>
        <row r="426">
          <cell r="A426" t="str">
            <v>CMP-1098</v>
          </cell>
          <cell r="H426" t="str">
            <v>No</v>
          </cell>
          <cell r="J426" t="str">
            <v>No</v>
          </cell>
          <cell r="L426" t="str">
            <v>No</v>
          </cell>
          <cell r="M426">
            <v>14</v>
          </cell>
        </row>
        <row r="427">
          <cell r="A427" t="str">
            <v>CMP-1225</v>
          </cell>
          <cell r="H427" t="str">
            <v>Yes</v>
          </cell>
          <cell r="J427" t="str">
            <v>No</v>
          </cell>
          <cell r="L427" t="str">
            <v>No</v>
          </cell>
          <cell r="M427">
            <v>3</v>
          </cell>
        </row>
        <row r="428">
          <cell r="A428" t="str">
            <v>CMP-1056</v>
          </cell>
          <cell r="H428" t="str">
            <v>No</v>
          </cell>
          <cell r="J428" t="str">
            <v>No</v>
          </cell>
          <cell r="L428" t="str">
            <v>No</v>
          </cell>
          <cell r="M428">
            <v>1</v>
          </cell>
        </row>
        <row r="429">
          <cell r="A429" t="str">
            <v>CMP-1080</v>
          </cell>
          <cell r="H429" t="str">
            <v>Yes</v>
          </cell>
          <cell r="J429" t="str">
            <v>Yes</v>
          </cell>
          <cell r="L429" t="str">
            <v>No</v>
          </cell>
          <cell r="M429">
            <v>12</v>
          </cell>
        </row>
        <row r="430">
          <cell r="A430" t="str">
            <v>CMP-1124</v>
          </cell>
          <cell r="H430" t="str">
            <v>Yes</v>
          </cell>
          <cell r="J430" t="str">
            <v>No</v>
          </cell>
          <cell r="L430" t="str">
            <v>No</v>
          </cell>
          <cell r="M430">
            <v>13</v>
          </cell>
        </row>
        <row r="431">
          <cell r="A431" t="str">
            <v>CMP-1096</v>
          </cell>
          <cell r="H431" t="str">
            <v>Yes</v>
          </cell>
          <cell r="J431" t="str">
            <v>No</v>
          </cell>
          <cell r="L431" t="str">
            <v>No</v>
          </cell>
          <cell r="M431">
            <v>16</v>
          </cell>
        </row>
        <row r="432">
          <cell r="A432" t="str">
            <v>CMP-1054</v>
          </cell>
          <cell r="H432" t="str">
            <v>No</v>
          </cell>
          <cell r="J432" t="str">
            <v>No</v>
          </cell>
          <cell r="L432" t="str">
            <v>No</v>
          </cell>
          <cell r="M432">
            <v>16</v>
          </cell>
        </row>
        <row r="433">
          <cell r="A433" t="str">
            <v>CMP-1161</v>
          </cell>
          <cell r="H433" t="str">
            <v>No</v>
          </cell>
          <cell r="J433" t="str">
            <v>Yes</v>
          </cell>
          <cell r="L433" t="str">
            <v>No</v>
          </cell>
          <cell r="M433">
            <v>8</v>
          </cell>
        </row>
        <row r="434">
          <cell r="A434" t="str">
            <v>CMP-1038</v>
          </cell>
          <cell r="H434" t="str">
            <v>No</v>
          </cell>
          <cell r="J434" t="str">
            <v>Yes</v>
          </cell>
          <cell r="L434" t="str">
            <v>No</v>
          </cell>
          <cell r="M434">
            <v>15</v>
          </cell>
        </row>
        <row r="435">
          <cell r="A435" t="str">
            <v>CMP-1270</v>
          </cell>
          <cell r="H435" t="str">
            <v>Yes</v>
          </cell>
          <cell r="J435" t="str">
            <v>No</v>
          </cell>
          <cell r="L435" t="str">
            <v>No</v>
          </cell>
          <cell r="M435">
            <v>10</v>
          </cell>
        </row>
        <row r="436">
          <cell r="A436" t="str">
            <v>CMP-1005</v>
          </cell>
          <cell r="H436" t="str">
            <v>No</v>
          </cell>
          <cell r="J436" t="str">
            <v>Yes</v>
          </cell>
          <cell r="L436" t="str">
            <v>Yes</v>
          </cell>
          <cell r="M436" t="str">
            <v/>
          </cell>
        </row>
        <row r="437">
          <cell r="A437" t="str">
            <v>CMP-1247</v>
          </cell>
          <cell r="H437" t="str">
            <v>Yes</v>
          </cell>
          <cell r="J437" t="str">
            <v>No</v>
          </cell>
          <cell r="L437" t="str">
            <v>No</v>
          </cell>
          <cell r="M437">
            <v>16</v>
          </cell>
        </row>
        <row r="438">
          <cell r="A438" t="str">
            <v>CMP-1216</v>
          </cell>
          <cell r="H438" t="str">
            <v>Yes</v>
          </cell>
          <cell r="J438" t="str">
            <v>No</v>
          </cell>
          <cell r="L438" t="str">
            <v>No</v>
          </cell>
          <cell r="M438">
            <v>10</v>
          </cell>
        </row>
        <row r="439">
          <cell r="A439" t="str">
            <v>CMP-1185</v>
          </cell>
          <cell r="H439" t="str">
            <v>Yes</v>
          </cell>
          <cell r="J439" t="str">
            <v>Yes</v>
          </cell>
          <cell r="L439" t="str">
            <v>No</v>
          </cell>
          <cell r="M439">
            <v>17</v>
          </cell>
        </row>
        <row r="440">
          <cell r="A440" t="str">
            <v>CMP-1161</v>
          </cell>
          <cell r="H440" t="str">
            <v>Yes</v>
          </cell>
          <cell r="J440" t="str">
            <v>Yes</v>
          </cell>
          <cell r="L440" t="str">
            <v>No</v>
          </cell>
          <cell r="M440">
            <v>19</v>
          </cell>
        </row>
        <row r="441">
          <cell r="A441" t="str">
            <v>CMP-1105</v>
          </cell>
          <cell r="H441" t="str">
            <v>No</v>
          </cell>
          <cell r="J441" t="str">
            <v>No</v>
          </cell>
          <cell r="L441" t="str">
            <v>No</v>
          </cell>
          <cell r="M441">
            <v>13</v>
          </cell>
        </row>
        <row r="442">
          <cell r="A442" t="str">
            <v>CMP-1270</v>
          </cell>
          <cell r="H442" t="str">
            <v>No</v>
          </cell>
          <cell r="J442" t="str">
            <v>No</v>
          </cell>
          <cell r="L442" t="str">
            <v>No</v>
          </cell>
          <cell r="M442">
            <v>12</v>
          </cell>
        </row>
        <row r="443">
          <cell r="A443" t="str">
            <v>CMP-1234</v>
          </cell>
          <cell r="H443" t="str">
            <v>No</v>
          </cell>
          <cell r="J443" t="str">
            <v>No</v>
          </cell>
          <cell r="L443" t="str">
            <v>No</v>
          </cell>
          <cell r="M443">
            <v>9</v>
          </cell>
        </row>
        <row r="444">
          <cell r="A444" t="str">
            <v>CMP-1096</v>
          </cell>
          <cell r="H444" t="str">
            <v>Yes</v>
          </cell>
          <cell r="J444" t="str">
            <v>Yes</v>
          </cell>
          <cell r="L444" t="str">
            <v>No</v>
          </cell>
          <cell r="M444">
            <v>5</v>
          </cell>
        </row>
        <row r="445">
          <cell r="A445" t="str">
            <v>CMP-1226</v>
          </cell>
          <cell r="H445" t="str">
            <v>No</v>
          </cell>
          <cell r="J445" t="str">
            <v>No</v>
          </cell>
          <cell r="L445" t="str">
            <v>No</v>
          </cell>
          <cell r="M445">
            <v>4</v>
          </cell>
        </row>
        <row r="446">
          <cell r="A446" t="str">
            <v>CMP-1273</v>
          </cell>
          <cell r="H446" t="str">
            <v>No</v>
          </cell>
          <cell r="J446" t="str">
            <v>Yes</v>
          </cell>
          <cell r="L446" t="str">
            <v>No</v>
          </cell>
          <cell r="M446">
            <v>6</v>
          </cell>
        </row>
        <row r="447">
          <cell r="A447" t="str">
            <v>CMP-1232</v>
          </cell>
          <cell r="H447" t="str">
            <v>Yes</v>
          </cell>
          <cell r="J447" t="str">
            <v>No</v>
          </cell>
          <cell r="L447" t="str">
            <v>No</v>
          </cell>
          <cell r="M447">
            <v>13</v>
          </cell>
        </row>
        <row r="448">
          <cell r="A448" t="str">
            <v>CMP-1257</v>
          </cell>
          <cell r="H448" t="str">
            <v>No</v>
          </cell>
          <cell r="J448" t="str">
            <v>No</v>
          </cell>
          <cell r="L448" t="str">
            <v>No</v>
          </cell>
          <cell r="M448">
            <v>14</v>
          </cell>
        </row>
        <row r="449">
          <cell r="A449" t="str">
            <v>CMP-1054</v>
          </cell>
          <cell r="H449" t="str">
            <v>No</v>
          </cell>
          <cell r="J449" t="str">
            <v>Yes</v>
          </cell>
          <cell r="L449" t="str">
            <v>Yes</v>
          </cell>
          <cell r="M449" t="str">
            <v/>
          </cell>
        </row>
        <row r="450">
          <cell r="A450" t="str">
            <v>CMP-1211</v>
          </cell>
          <cell r="H450" t="str">
            <v>No</v>
          </cell>
          <cell r="J450" t="str">
            <v>No</v>
          </cell>
          <cell r="L450" t="str">
            <v>No</v>
          </cell>
          <cell r="M450">
            <v>8</v>
          </cell>
        </row>
        <row r="451">
          <cell r="A451" t="str">
            <v>CMP-1149</v>
          </cell>
          <cell r="H451" t="str">
            <v>Yes</v>
          </cell>
          <cell r="J451" t="str">
            <v>Yes</v>
          </cell>
          <cell r="L451" t="str">
            <v>No</v>
          </cell>
          <cell r="M451">
            <v>3</v>
          </cell>
        </row>
        <row r="452">
          <cell r="A452" t="str">
            <v>CMP-1263</v>
          </cell>
          <cell r="H452" t="str">
            <v>No</v>
          </cell>
          <cell r="J452" t="str">
            <v>No</v>
          </cell>
          <cell r="L452" t="str">
            <v>Yes</v>
          </cell>
          <cell r="M452" t="str">
            <v/>
          </cell>
        </row>
        <row r="453">
          <cell r="A453" t="str">
            <v>CMP-1230</v>
          </cell>
          <cell r="H453" t="str">
            <v>No</v>
          </cell>
          <cell r="J453" t="str">
            <v>No</v>
          </cell>
          <cell r="L453" t="str">
            <v>No</v>
          </cell>
          <cell r="M453">
            <v>19</v>
          </cell>
        </row>
        <row r="454">
          <cell r="A454" t="str">
            <v>CMP-1057</v>
          </cell>
          <cell r="H454" t="str">
            <v>No</v>
          </cell>
          <cell r="J454" t="str">
            <v>Yes</v>
          </cell>
          <cell r="L454" t="str">
            <v>No</v>
          </cell>
          <cell r="M454">
            <v>1</v>
          </cell>
        </row>
        <row r="455">
          <cell r="A455" t="str">
            <v>CMP-1150</v>
          </cell>
          <cell r="H455" t="str">
            <v>No</v>
          </cell>
          <cell r="J455" t="str">
            <v>No</v>
          </cell>
          <cell r="L455" t="str">
            <v>No</v>
          </cell>
          <cell r="M455">
            <v>8</v>
          </cell>
        </row>
        <row r="456">
          <cell r="A456" t="str">
            <v>CMP-1287</v>
          </cell>
          <cell r="H456" t="str">
            <v>No</v>
          </cell>
          <cell r="J456" t="str">
            <v>No</v>
          </cell>
          <cell r="L456" t="str">
            <v>Yes</v>
          </cell>
          <cell r="M456" t="str">
            <v/>
          </cell>
        </row>
        <row r="457">
          <cell r="A457" t="str">
            <v>CMP-1191</v>
          </cell>
          <cell r="H457" t="str">
            <v>Yes</v>
          </cell>
          <cell r="J457" t="str">
            <v>Yes</v>
          </cell>
          <cell r="L457" t="str">
            <v>Yes</v>
          </cell>
          <cell r="M457" t="str">
            <v/>
          </cell>
        </row>
        <row r="458">
          <cell r="A458" t="str">
            <v>CMP-1044</v>
          </cell>
          <cell r="H458" t="str">
            <v>No</v>
          </cell>
          <cell r="J458" t="str">
            <v>No</v>
          </cell>
          <cell r="L458" t="str">
            <v>Yes</v>
          </cell>
          <cell r="M458" t="str">
            <v/>
          </cell>
        </row>
        <row r="459">
          <cell r="A459" t="str">
            <v>CMP-1027</v>
          </cell>
          <cell r="H459" t="str">
            <v>No</v>
          </cell>
          <cell r="J459" t="str">
            <v>No</v>
          </cell>
          <cell r="L459" t="str">
            <v>No</v>
          </cell>
          <cell r="M459">
            <v>5</v>
          </cell>
        </row>
        <row r="460">
          <cell r="A460" t="str">
            <v>CMP-1131</v>
          </cell>
          <cell r="H460" t="str">
            <v>Yes</v>
          </cell>
          <cell r="J460" t="str">
            <v>No</v>
          </cell>
          <cell r="L460" t="str">
            <v>No</v>
          </cell>
          <cell r="M460">
            <v>14</v>
          </cell>
        </row>
        <row r="461">
          <cell r="A461" t="str">
            <v>CMP-1219</v>
          </cell>
          <cell r="H461" t="str">
            <v>Yes</v>
          </cell>
          <cell r="J461" t="str">
            <v>No</v>
          </cell>
          <cell r="L461" t="str">
            <v>No</v>
          </cell>
          <cell r="M461">
            <v>1</v>
          </cell>
        </row>
        <row r="462">
          <cell r="A462" t="str">
            <v>CMP-1116</v>
          </cell>
          <cell r="H462" t="str">
            <v>Yes</v>
          </cell>
          <cell r="J462" t="str">
            <v>Yes</v>
          </cell>
          <cell r="L462" t="str">
            <v>No</v>
          </cell>
          <cell r="M462">
            <v>17</v>
          </cell>
        </row>
        <row r="463">
          <cell r="A463" t="str">
            <v>CMP-1263</v>
          </cell>
          <cell r="H463" t="str">
            <v>Yes</v>
          </cell>
          <cell r="J463" t="str">
            <v>No</v>
          </cell>
          <cell r="L463" t="str">
            <v>No</v>
          </cell>
          <cell r="M463">
            <v>17</v>
          </cell>
        </row>
        <row r="464">
          <cell r="A464" t="str">
            <v>CMP-1007</v>
          </cell>
          <cell r="H464" t="str">
            <v>No</v>
          </cell>
          <cell r="J464" t="str">
            <v>No</v>
          </cell>
          <cell r="L464" t="str">
            <v>No</v>
          </cell>
          <cell r="M464">
            <v>9</v>
          </cell>
        </row>
        <row r="465">
          <cell r="A465" t="str">
            <v>CMP-1021</v>
          </cell>
          <cell r="H465" t="str">
            <v>No</v>
          </cell>
          <cell r="J465" t="str">
            <v>Yes</v>
          </cell>
          <cell r="L465" t="str">
            <v>Yes</v>
          </cell>
          <cell r="M465" t="str">
            <v/>
          </cell>
        </row>
        <row r="466">
          <cell r="A466" t="str">
            <v>CMP-1170</v>
          </cell>
          <cell r="H466" t="str">
            <v>Yes</v>
          </cell>
          <cell r="J466" t="str">
            <v>No</v>
          </cell>
          <cell r="L466" t="str">
            <v>No</v>
          </cell>
          <cell r="M466">
            <v>7</v>
          </cell>
        </row>
        <row r="467">
          <cell r="A467" t="str">
            <v>CMP-1060</v>
          </cell>
          <cell r="H467" t="str">
            <v>No</v>
          </cell>
          <cell r="J467" t="str">
            <v>Yes</v>
          </cell>
          <cell r="L467" t="str">
            <v>No</v>
          </cell>
          <cell r="M467">
            <v>8</v>
          </cell>
        </row>
        <row r="468">
          <cell r="A468" t="str">
            <v>CMP-1296</v>
          </cell>
          <cell r="H468" t="str">
            <v>No</v>
          </cell>
          <cell r="J468" t="str">
            <v>No</v>
          </cell>
          <cell r="L468" t="str">
            <v>No</v>
          </cell>
          <cell r="M468">
            <v>13</v>
          </cell>
        </row>
        <row r="469">
          <cell r="A469" t="str">
            <v>CMP-1141</v>
          </cell>
          <cell r="H469" t="str">
            <v>Yes</v>
          </cell>
          <cell r="J469" t="str">
            <v>No</v>
          </cell>
          <cell r="L469" t="str">
            <v>Yes</v>
          </cell>
          <cell r="M469" t="str">
            <v/>
          </cell>
        </row>
        <row r="470">
          <cell r="A470" t="str">
            <v>CMP-1281</v>
          </cell>
          <cell r="H470" t="str">
            <v>No</v>
          </cell>
          <cell r="J470" t="str">
            <v>No</v>
          </cell>
          <cell r="L470" t="str">
            <v>Yes</v>
          </cell>
          <cell r="M470" t="str">
            <v/>
          </cell>
        </row>
        <row r="471">
          <cell r="A471" t="str">
            <v>CMP-1214</v>
          </cell>
          <cell r="H471" t="str">
            <v>Yes</v>
          </cell>
          <cell r="J471" t="str">
            <v>Yes</v>
          </cell>
          <cell r="L471" t="str">
            <v>No</v>
          </cell>
          <cell r="M471">
            <v>16</v>
          </cell>
        </row>
        <row r="472">
          <cell r="A472" t="str">
            <v>CMP-1268</v>
          </cell>
          <cell r="H472" t="str">
            <v>No</v>
          </cell>
          <cell r="J472" t="str">
            <v>No</v>
          </cell>
          <cell r="L472" t="str">
            <v>No</v>
          </cell>
          <cell r="M472">
            <v>14</v>
          </cell>
        </row>
        <row r="473">
          <cell r="A473" t="str">
            <v>CMP-1063</v>
          </cell>
          <cell r="H473" t="str">
            <v>Yes</v>
          </cell>
          <cell r="J473" t="str">
            <v>Yes</v>
          </cell>
          <cell r="L473" t="str">
            <v>No</v>
          </cell>
          <cell r="M473">
            <v>2</v>
          </cell>
        </row>
        <row r="474">
          <cell r="A474" t="str">
            <v>CMP-1067</v>
          </cell>
          <cell r="H474" t="str">
            <v>No</v>
          </cell>
          <cell r="J474" t="str">
            <v>No</v>
          </cell>
          <cell r="L474" t="str">
            <v>Yes</v>
          </cell>
          <cell r="M474" t="str">
            <v/>
          </cell>
        </row>
        <row r="475">
          <cell r="A475" t="str">
            <v>CMP-1097</v>
          </cell>
          <cell r="H475" t="str">
            <v>Yes</v>
          </cell>
          <cell r="J475" t="str">
            <v>Yes</v>
          </cell>
          <cell r="L475" t="str">
            <v>No</v>
          </cell>
          <cell r="M475">
            <v>2</v>
          </cell>
        </row>
        <row r="476">
          <cell r="A476" t="str">
            <v>CMP-1100</v>
          </cell>
          <cell r="H476" t="str">
            <v>No</v>
          </cell>
          <cell r="J476" t="str">
            <v>No</v>
          </cell>
          <cell r="L476" t="str">
            <v>No</v>
          </cell>
          <cell r="M476">
            <v>8</v>
          </cell>
        </row>
        <row r="477">
          <cell r="A477" t="str">
            <v>CMP-1035</v>
          </cell>
          <cell r="H477" t="str">
            <v>No</v>
          </cell>
          <cell r="J477" t="str">
            <v>Yes</v>
          </cell>
          <cell r="L477" t="str">
            <v>No</v>
          </cell>
          <cell r="M477">
            <v>8</v>
          </cell>
        </row>
        <row r="478">
          <cell r="A478" t="str">
            <v>CMP-1143</v>
          </cell>
          <cell r="H478" t="str">
            <v>Yes</v>
          </cell>
          <cell r="J478" t="str">
            <v>No</v>
          </cell>
          <cell r="L478" t="str">
            <v>No</v>
          </cell>
          <cell r="M478">
            <v>9</v>
          </cell>
        </row>
        <row r="479">
          <cell r="A479" t="str">
            <v>CMP-1111</v>
          </cell>
          <cell r="H479" t="str">
            <v>Yes</v>
          </cell>
          <cell r="J479" t="str">
            <v>Yes</v>
          </cell>
          <cell r="L479" t="str">
            <v>No</v>
          </cell>
          <cell r="M479">
            <v>12</v>
          </cell>
        </row>
        <row r="480">
          <cell r="A480" t="str">
            <v>CMP-1100</v>
          </cell>
          <cell r="H480" t="str">
            <v>No</v>
          </cell>
          <cell r="J480" t="str">
            <v>Yes</v>
          </cell>
          <cell r="L480" t="str">
            <v>No</v>
          </cell>
          <cell r="M480">
            <v>13</v>
          </cell>
        </row>
        <row r="481">
          <cell r="A481" t="str">
            <v>CMP-1201</v>
          </cell>
          <cell r="H481" t="str">
            <v>No</v>
          </cell>
          <cell r="J481" t="str">
            <v>No</v>
          </cell>
          <cell r="L481" t="str">
            <v>No</v>
          </cell>
          <cell r="M481">
            <v>10</v>
          </cell>
        </row>
        <row r="482">
          <cell r="A482" t="str">
            <v>CMP-1210</v>
          </cell>
          <cell r="H482" t="str">
            <v>Yes</v>
          </cell>
          <cell r="J482" t="str">
            <v>Yes</v>
          </cell>
          <cell r="L482" t="str">
            <v>Yes</v>
          </cell>
          <cell r="M482" t="str">
            <v/>
          </cell>
        </row>
        <row r="483">
          <cell r="A483" t="str">
            <v>CMP-1288</v>
          </cell>
          <cell r="H483" t="str">
            <v>No</v>
          </cell>
          <cell r="J483" t="str">
            <v>Yes</v>
          </cell>
          <cell r="L483" t="str">
            <v>No</v>
          </cell>
          <cell r="M483">
            <v>18</v>
          </cell>
        </row>
        <row r="484">
          <cell r="A484" t="str">
            <v>CMP-1133</v>
          </cell>
          <cell r="H484" t="str">
            <v>No</v>
          </cell>
          <cell r="J484" t="str">
            <v>No</v>
          </cell>
          <cell r="L484" t="str">
            <v>No</v>
          </cell>
          <cell r="M484">
            <v>9</v>
          </cell>
        </row>
        <row r="485">
          <cell r="A485" t="str">
            <v>CMP-1153</v>
          </cell>
          <cell r="H485" t="str">
            <v>No</v>
          </cell>
          <cell r="J485" t="str">
            <v>No</v>
          </cell>
          <cell r="L485" t="str">
            <v>No</v>
          </cell>
          <cell r="M485">
            <v>8</v>
          </cell>
        </row>
        <row r="486">
          <cell r="A486" t="str">
            <v>CMP-1145</v>
          </cell>
          <cell r="H486" t="str">
            <v>No</v>
          </cell>
          <cell r="J486" t="str">
            <v>No</v>
          </cell>
          <cell r="L486" t="str">
            <v>No</v>
          </cell>
          <cell r="M486">
            <v>3</v>
          </cell>
        </row>
        <row r="487">
          <cell r="A487" t="str">
            <v>CMP-1221</v>
          </cell>
          <cell r="H487" t="str">
            <v>No</v>
          </cell>
          <cell r="J487" t="str">
            <v>No</v>
          </cell>
          <cell r="L487" t="str">
            <v>No</v>
          </cell>
          <cell r="M487">
            <v>8</v>
          </cell>
        </row>
        <row r="488">
          <cell r="A488" t="str">
            <v>CMP-1098</v>
          </cell>
          <cell r="H488" t="str">
            <v>No</v>
          </cell>
          <cell r="J488" t="str">
            <v>Yes</v>
          </cell>
          <cell r="L488" t="str">
            <v>No</v>
          </cell>
          <cell r="M488">
            <v>14</v>
          </cell>
        </row>
        <row r="489">
          <cell r="A489" t="str">
            <v>CMP-1104</v>
          </cell>
          <cell r="H489" t="str">
            <v>No</v>
          </cell>
          <cell r="J489" t="str">
            <v>No</v>
          </cell>
          <cell r="L489" t="str">
            <v>No</v>
          </cell>
          <cell r="M489">
            <v>3</v>
          </cell>
        </row>
        <row r="490">
          <cell r="A490" t="str">
            <v>CMP-1123</v>
          </cell>
          <cell r="H490" t="str">
            <v>No</v>
          </cell>
          <cell r="J490" t="str">
            <v>No</v>
          </cell>
          <cell r="L490" t="str">
            <v>No</v>
          </cell>
          <cell r="M490">
            <v>1</v>
          </cell>
        </row>
        <row r="491">
          <cell r="A491" t="str">
            <v>CMP-1179</v>
          </cell>
          <cell r="H491" t="str">
            <v>No</v>
          </cell>
          <cell r="J491" t="str">
            <v>Yes</v>
          </cell>
          <cell r="L491" t="str">
            <v>No</v>
          </cell>
          <cell r="M491">
            <v>2</v>
          </cell>
        </row>
        <row r="492">
          <cell r="A492" t="str">
            <v>CMP-1032</v>
          </cell>
          <cell r="H492" t="str">
            <v>No</v>
          </cell>
          <cell r="J492" t="str">
            <v>Yes</v>
          </cell>
          <cell r="L492" t="str">
            <v>No</v>
          </cell>
          <cell r="M492">
            <v>7</v>
          </cell>
        </row>
        <row r="493">
          <cell r="A493" t="str">
            <v>CMP-1019</v>
          </cell>
          <cell r="H493" t="str">
            <v>No</v>
          </cell>
          <cell r="J493" t="str">
            <v>Yes</v>
          </cell>
          <cell r="L493" t="str">
            <v>No</v>
          </cell>
          <cell r="M493">
            <v>11</v>
          </cell>
        </row>
        <row r="494">
          <cell r="A494" t="str">
            <v>CMP-1186</v>
          </cell>
          <cell r="H494" t="str">
            <v>No</v>
          </cell>
          <cell r="J494" t="str">
            <v>Yes</v>
          </cell>
          <cell r="L494" t="str">
            <v>Yes</v>
          </cell>
          <cell r="M494" t="str">
            <v/>
          </cell>
        </row>
        <row r="495">
          <cell r="A495" t="str">
            <v>CMP-1053</v>
          </cell>
          <cell r="H495" t="str">
            <v>No</v>
          </cell>
          <cell r="J495" t="str">
            <v>Yes</v>
          </cell>
          <cell r="L495" t="str">
            <v>No</v>
          </cell>
          <cell r="M495">
            <v>16</v>
          </cell>
        </row>
        <row r="496">
          <cell r="A496" t="str">
            <v>CMP-1238</v>
          </cell>
          <cell r="H496" t="str">
            <v>No</v>
          </cell>
          <cell r="J496" t="str">
            <v>No</v>
          </cell>
          <cell r="L496" t="str">
            <v>No</v>
          </cell>
          <cell r="M496">
            <v>10</v>
          </cell>
        </row>
        <row r="497">
          <cell r="A497" t="str">
            <v>CMP-1185</v>
          </cell>
          <cell r="H497" t="str">
            <v>No</v>
          </cell>
          <cell r="J497" t="str">
            <v>No</v>
          </cell>
          <cell r="L497" t="str">
            <v>Yes</v>
          </cell>
          <cell r="M497" t="str">
            <v/>
          </cell>
        </row>
        <row r="498">
          <cell r="A498" t="str">
            <v>CMP-1213</v>
          </cell>
          <cell r="H498" t="str">
            <v>No</v>
          </cell>
          <cell r="J498" t="str">
            <v>No</v>
          </cell>
          <cell r="L498" t="str">
            <v>No</v>
          </cell>
          <cell r="M498">
            <v>15</v>
          </cell>
        </row>
        <row r="499">
          <cell r="A499" t="str">
            <v>CMP-1236</v>
          </cell>
          <cell r="H499" t="str">
            <v>No</v>
          </cell>
          <cell r="J499" t="str">
            <v>Yes</v>
          </cell>
          <cell r="L499" t="str">
            <v>No</v>
          </cell>
          <cell r="M499">
            <v>17</v>
          </cell>
        </row>
        <row r="500">
          <cell r="A500" t="str">
            <v>CMP-1062</v>
          </cell>
          <cell r="H500" t="str">
            <v>Yes</v>
          </cell>
          <cell r="J500" t="str">
            <v>No</v>
          </cell>
          <cell r="L500" t="str">
            <v>No</v>
          </cell>
          <cell r="M500">
            <v>4</v>
          </cell>
        </row>
        <row r="501">
          <cell r="A501" t="str">
            <v>CMP-1011</v>
          </cell>
          <cell r="H501" t="str">
            <v>Yes</v>
          </cell>
          <cell r="J501" t="str">
            <v>Yes</v>
          </cell>
          <cell r="L501" t="str">
            <v>No</v>
          </cell>
          <cell r="M501">
            <v>17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34.730696990744" createdVersion="8" refreshedVersion="8" minRefreshableVersion="3" recordCount="500" xr:uid="{23E3FB97-1DDB-0041-B219-FB646B99C4A1}">
  <cacheSource type="worksheet">
    <worksheetSource ref="A1:O501" sheet="Cleaned_Data" r:id="rId2"/>
  </cacheSource>
  <cacheFields count="21">
    <cacheField name="complaint_id" numFmtId="0">
      <sharedItems/>
    </cacheField>
    <cacheField name="date_received" numFmtId="14">
      <sharedItems containsSemiMixedTypes="0" containsNonDate="0" containsDate="1" containsString="0" minDate="2024-10-01T00:00:00" maxDate="2025-04-20T00:00:00"/>
    </cacheField>
    <cacheField name="date_closed" numFmtId="14">
      <sharedItems containsNonDate="0" containsDate="1" containsString="0" containsBlank="1" minDate="2024-10-03T00:00:00" maxDate="2025-05-04T00:00:00"/>
    </cacheField>
    <cacheField name="complaint_category" numFmtId="0">
      <sharedItems/>
    </cacheField>
    <cacheField name="normalized_category" numFmtId="0">
      <sharedItems count="6">
        <s v="POLICY UPDATE"/>
        <s v="DOCUMENTATION ERROR"/>
        <s v="SERVICE DELAY"/>
        <s v="BILLING ISSUE"/>
        <s v="DOC ERROR"/>
        <s v="COMMUNICATION DELAY"/>
      </sharedItems>
    </cacheField>
    <cacheField name="rootcause" numFmtId="0">
      <sharedItems containsBlank="1" count="5">
        <m/>
        <s v="Manual error"/>
        <s v="System issue"/>
        <s v="Training gap"/>
        <s v="Incomplete info"/>
      </sharedItems>
    </cacheField>
    <cacheField name="sla_flag" numFmtId="0">
      <sharedItems containsBlank="1"/>
    </cacheField>
    <cacheField name="sla_met_clean" numFmtId="0">
      <sharedItems/>
    </cacheField>
    <cacheField name="repeat_flag" numFmtId="0">
      <sharedItems containsBlank="1"/>
    </cacheField>
    <cacheField name="repeat_complaint_clean" numFmtId="0">
      <sharedItems/>
    </cacheField>
    <cacheField name="customer_notes" numFmtId="0">
      <sharedItems containsBlank="1"/>
    </cacheField>
    <cacheField name="is_open_complaint" numFmtId="0">
      <sharedItems/>
    </cacheField>
    <cacheField name="resolution_time_days" numFmtId="0">
      <sharedItems containsMixedTypes="1" containsNumber="1" containsInteger="1" minValue="1" maxValue="20"/>
    </cacheField>
    <cacheField name="complaint_month" numFmtId="14">
      <sharedItems containsSemiMixedTypes="0" containsNonDate="0" containsDate="1" containsString="0" minDate="2024-10-01T00:00:00" maxDate="2025-04-02T00:00:00" count="7">
        <d v="2025-03-01T00:00:00"/>
        <d v="2025-04-01T00:00:00"/>
        <d v="2024-12-01T00:00:00"/>
        <d v="2024-10-01T00:00:00"/>
        <d v="2024-11-01T00:00:00"/>
        <d v="2025-01-01T00:00:00"/>
        <d v="2025-02-01T00:00:00"/>
      </sharedItems>
      <fieldGroup par="20"/>
    </cacheField>
    <cacheField name="complaint_month_date" numFmtId="166">
      <sharedItems containsSemiMixedTypes="0" containsNonDate="0" containsDate="1" containsString="0" minDate="2024-10-01T00:00:00" maxDate="2025-04-02T00:00:00" count="7">
        <d v="2025-03-01T00:00:00"/>
        <d v="2025-04-01T00:00:00"/>
        <d v="2024-12-01T00:00:00"/>
        <d v="2024-10-01T00:00:00"/>
        <d v="2024-11-01T00:00:00"/>
        <d v="2025-01-01T00:00:00"/>
        <d v="2025-02-01T00:00:00"/>
      </sharedItems>
      <fieldGroup par="17"/>
    </cacheField>
    <cacheField name="Months (complaint_month_date)" numFmtId="0" databaseField="0">
      <fieldGroup base="14">
        <rangePr groupBy="months" startDate="2024-10-01T00:00:00" endDate="2025-04-02T00:00:00"/>
        <groupItems count="14">
          <s v="&lt;01/10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4/25"/>
        </groupItems>
      </fieldGroup>
    </cacheField>
    <cacheField name="Quarters (complaint_month_date)" numFmtId="0" databaseField="0">
      <fieldGroup base="14">
        <rangePr groupBy="quarters" startDate="2024-10-01T00:00:00" endDate="2025-04-02T00:00:00"/>
        <groupItems count="6">
          <s v="&lt;01/10/24"/>
          <s v="Qtr1"/>
          <s v="Qtr2"/>
          <s v="Qtr3"/>
          <s v="Qtr4"/>
          <s v="&gt;02/04/25"/>
        </groupItems>
      </fieldGroup>
    </cacheField>
    <cacheField name="Years (complaint_month_date)" numFmtId="0" databaseField="0">
      <fieldGroup base="14">
        <rangePr groupBy="years" startDate="2024-10-01T00:00:00" endDate="2025-04-02T00:00:00"/>
        <groupItems count="4">
          <s v="&lt;01/10/24"/>
          <s v="2024"/>
          <s v="2025"/>
          <s v="&gt;02/04/25"/>
        </groupItems>
      </fieldGroup>
    </cacheField>
    <cacheField name="Months (complaint_month)" numFmtId="0" databaseField="0">
      <fieldGroup base="13">
        <rangePr groupBy="months" startDate="2024-10-01T00:00:00" endDate="2025-04-02T00:00:00"/>
        <groupItems count="14">
          <s v="&lt;01/10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4/25"/>
        </groupItems>
      </fieldGroup>
    </cacheField>
    <cacheField name="Quarters (complaint_month)" numFmtId="0" databaseField="0">
      <fieldGroup base="13">
        <rangePr groupBy="quarters" startDate="2024-10-01T00:00:00" endDate="2025-04-02T00:00:00"/>
        <groupItems count="6">
          <s v="&lt;01/10/24"/>
          <s v="Qtr1"/>
          <s v="Qtr2"/>
          <s v="Qtr3"/>
          <s v="Qtr4"/>
          <s v="&gt;02/04/25"/>
        </groupItems>
      </fieldGroup>
    </cacheField>
    <cacheField name="Years (complaint_month)" numFmtId="0" databaseField="0">
      <fieldGroup base="13">
        <rangePr groupBy="years" startDate="2024-10-01T00:00:00" endDate="2025-04-02T00:00:00"/>
        <groupItems count="4">
          <s v="&lt;01/10/24"/>
          <s v="2024"/>
          <s v="2025"/>
          <s v="&gt;02/04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MP-1293"/>
    <d v="2025-03-10T00:00:00"/>
    <d v="2025-03-11T00:00:00"/>
    <s v="Policy update"/>
    <x v="0"/>
    <x v="0"/>
    <s v="no "/>
    <s v="No"/>
    <s v="N"/>
    <s v="No"/>
    <m/>
    <s v="No"/>
    <n v="1"/>
    <x v="0"/>
    <x v="0"/>
  </r>
  <r>
    <s v="CMP-1080"/>
    <d v="2025-04-04T00:00:00"/>
    <d v="2025-04-23T00:00:00"/>
    <s v="Documentation error"/>
    <x v="1"/>
    <x v="1"/>
    <s v="yes "/>
    <s v="Yes"/>
    <s v="Yes"/>
    <s v="Yes"/>
    <s v="Issue not resolved"/>
    <s v="No"/>
    <n v="19"/>
    <x v="1"/>
    <x v="1"/>
  </r>
  <r>
    <s v="CMP-1106"/>
    <d v="2024-12-18T00:00:00"/>
    <d v="2024-12-27T00:00:00"/>
    <s v="Service delay"/>
    <x v="2"/>
    <x v="2"/>
    <s v="Y"/>
    <s v="Yes"/>
    <s v="Yes"/>
    <s v="Yes"/>
    <m/>
    <s v="No"/>
    <n v="9"/>
    <x v="2"/>
    <x v="2"/>
  </r>
  <r>
    <s v="CMP-1150"/>
    <d v="2024-10-20T00:00:00"/>
    <d v="2024-11-05T00:00:00"/>
    <s v="billing Issue"/>
    <x v="3"/>
    <x v="3"/>
    <s v="no "/>
    <s v="No"/>
    <m/>
    <s v="No"/>
    <s v="Issue not resolved"/>
    <s v="No"/>
    <n v="16"/>
    <x v="3"/>
    <x v="3"/>
  </r>
  <r>
    <s v="CMP-1293"/>
    <d v="2024-11-25T00:00:00"/>
    <d v="2024-12-04T00:00:00"/>
    <s v="Documentation error"/>
    <x v="1"/>
    <x v="1"/>
    <s v="no "/>
    <s v="No"/>
    <m/>
    <s v="No"/>
    <m/>
    <s v="No"/>
    <n v="9"/>
    <x v="4"/>
    <x v="4"/>
  </r>
  <r>
    <s v="CMP-1074"/>
    <d v="2024-11-05T00:00:00"/>
    <d v="2024-11-22T00:00:00"/>
    <s v="Documentation error"/>
    <x v="1"/>
    <x v="0"/>
    <s v="no "/>
    <s v="No"/>
    <s v="No"/>
    <s v="No"/>
    <s v="Issue not resolved"/>
    <s v="No"/>
    <n v="17"/>
    <x v="4"/>
    <x v="4"/>
  </r>
  <r>
    <s v="CMP-1161"/>
    <d v="2024-11-26T00:00:00"/>
    <d v="2024-12-01T00:00:00"/>
    <s v="doc error"/>
    <x v="4"/>
    <x v="0"/>
    <s v="N"/>
    <s v="No"/>
    <m/>
    <s v="No"/>
    <m/>
    <s v="No"/>
    <n v="5"/>
    <x v="4"/>
    <x v="4"/>
  </r>
  <r>
    <s v="CMP-1027"/>
    <d v="2025-01-23T00:00:00"/>
    <d v="2025-02-02T00:00:00"/>
    <s v="communication delay"/>
    <x v="5"/>
    <x v="0"/>
    <s v="N"/>
    <s v="No"/>
    <s v="Y"/>
    <s v="Yes"/>
    <s v="Customer unhappy with delay"/>
    <s v="No"/>
    <n v="10"/>
    <x v="5"/>
    <x v="5"/>
  </r>
  <r>
    <s v="CMP-1008"/>
    <d v="2025-03-22T00:00:00"/>
    <d v="2025-04-04T00:00:00"/>
    <s v="doc error"/>
    <x v="4"/>
    <x v="3"/>
    <s v="Yes"/>
    <s v="Yes"/>
    <s v="Y"/>
    <s v="Yes"/>
    <s v="Issue not resolved"/>
    <s v="No"/>
    <n v="13"/>
    <x v="0"/>
    <x v="0"/>
  </r>
  <r>
    <s v="CMP-1147"/>
    <d v="2024-10-13T00:00:00"/>
    <d v="2024-10-22T00:00:00"/>
    <s v="Documentation error"/>
    <x v="1"/>
    <x v="1"/>
    <m/>
    <s v="No"/>
    <m/>
    <s v="No"/>
    <s v="Issue not resolved"/>
    <s v="No"/>
    <n v="9"/>
    <x v="3"/>
    <x v="3"/>
  </r>
  <r>
    <s v="CMP-1117"/>
    <d v="2024-10-03T00:00:00"/>
    <m/>
    <s v="billing Issue"/>
    <x v="3"/>
    <x v="4"/>
    <s v="N"/>
    <s v="No"/>
    <s v="Y"/>
    <s v="Yes"/>
    <s v="Issue not resolved"/>
    <s v="Yes"/>
    <s v=""/>
    <x v="3"/>
    <x v="3"/>
  </r>
  <r>
    <s v="CMP-1260"/>
    <d v="2024-10-13T00:00:00"/>
    <d v="2024-10-14T00:00:00"/>
    <s v="billing Issue"/>
    <x v="3"/>
    <x v="3"/>
    <s v="Yes"/>
    <s v="Yes"/>
    <s v="N"/>
    <s v="No"/>
    <m/>
    <s v="No"/>
    <n v="1"/>
    <x v="3"/>
    <x v="3"/>
  </r>
  <r>
    <s v="CMP-1201"/>
    <d v="2025-04-09T00:00:00"/>
    <d v="2025-04-18T00:00:00"/>
    <s v="communication delay"/>
    <x v="5"/>
    <x v="2"/>
    <s v="No"/>
    <s v="No"/>
    <m/>
    <s v="No"/>
    <s v="Multiple follow-ups required"/>
    <s v="No"/>
    <n v="9"/>
    <x v="1"/>
    <x v="1"/>
  </r>
  <r>
    <s v="CMP-1088"/>
    <d v="2024-10-06T00:00:00"/>
    <d v="2024-10-08T00:00:00"/>
    <s v="Service delay"/>
    <x v="2"/>
    <x v="0"/>
    <s v="no "/>
    <s v="No"/>
    <s v="N"/>
    <s v="No"/>
    <s v="Issue not resolved"/>
    <s v="No"/>
    <n v="2"/>
    <x v="3"/>
    <x v="3"/>
  </r>
  <r>
    <s v="CMP-1089"/>
    <d v="2025-01-18T00:00:00"/>
    <d v="2025-02-02T00:00:00"/>
    <s v="Policy update"/>
    <x v="0"/>
    <x v="4"/>
    <s v="no "/>
    <s v="No"/>
    <m/>
    <s v="No"/>
    <m/>
    <s v="No"/>
    <n v="15"/>
    <x v="5"/>
    <x v="5"/>
  </r>
  <r>
    <s v="CMP-1163"/>
    <d v="2024-11-21T00:00:00"/>
    <m/>
    <s v="Policy Update "/>
    <x v="0"/>
    <x v="3"/>
    <s v="no "/>
    <s v="No"/>
    <s v="Y"/>
    <s v="Yes"/>
    <m/>
    <s v="Yes"/>
    <s v=""/>
    <x v="4"/>
    <x v="4"/>
  </r>
  <r>
    <s v="CMP-1212"/>
    <d v="2025-01-01T00:00:00"/>
    <d v="2025-01-14T00:00:00"/>
    <s v="billing Issue"/>
    <x v="3"/>
    <x v="0"/>
    <s v="N"/>
    <s v="No"/>
    <s v="N"/>
    <s v="No"/>
    <s v="Customer unhappy with delay"/>
    <s v="No"/>
    <n v="13"/>
    <x v="5"/>
    <x v="5"/>
  </r>
  <r>
    <s v="CMP-1231"/>
    <d v="2024-10-11T00:00:00"/>
    <d v="2024-10-31T00:00:00"/>
    <s v="communication delay"/>
    <x v="5"/>
    <x v="1"/>
    <s v="N"/>
    <s v="No"/>
    <m/>
    <s v="No"/>
    <s v="Issue not resolved"/>
    <s v="No"/>
    <n v="20"/>
    <x v="3"/>
    <x v="3"/>
  </r>
  <r>
    <s v="CMP-1037"/>
    <d v="2024-12-05T00:00:00"/>
    <d v="2024-12-10T00:00:00"/>
    <s v="communication delay"/>
    <x v="5"/>
    <x v="0"/>
    <s v="yes "/>
    <s v="Yes"/>
    <s v="Yes"/>
    <s v="Yes"/>
    <m/>
    <s v="No"/>
    <n v="5"/>
    <x v="2"/>
    <x v="2"/>
  </r>
  <r>
    <s v="CMP-1125"/>
    <d v="2025-03-04T00:00:00"/>
    <d v="2025-03-17T00:00:00"/>
    <s v="communication delay"/>
    <x v="5"/>
    <x v="2"/>
    <s v="no "/>
    <s v="No"/>
    <s v="Y"/>
    <s v="Yes"/>
    <s v="Issue not resolved"/>
    <s v="No"/>
    <n v="13"/>
    <x v="0"/>
    <x v="0"/>
  </r>
  <r>
    <s v="CMP-1280"/>
    <d v="2025-01-07T00:00:00"/>
    <d v="2025-01-26T00:00:00"/>
    <s v="Service delay"/>
    <x v="2"/>
    <x v="3"/>
    <s v="Yes"/>
    <s v="Yes"/>
    <s v="Yes"/>
    <s v="Yes"/>
    <s v="Customer unhappy with delay"/>
    <s v="No"/>
    <n v="19"/>
    <x v="5"/>
    <x v="5"/>
  </r>
  <r>
    <s v="CMP-1103"/>
    <d v="2025-04-09T00:00:00"/>
    <d v="2025-04-20T00:00:00"/>
    <s v="communication delay"/>
    <x v="5"/>
    <x v="2"/>
    <s v="Y"/>
    <s v="Yes"/>
    <s v="Y"/>
    <s v="Yes"/>
    <m/>
    <s v="No"/>
    <n v="11"/>
    <x v="1"/>
    <x v="1"/>
  </r>
  <r>
    <s v="CMP-1213"/>
    <d v="2024-10-12T00:00:00"/>
    <d v="2024-10-25T00:00:00"/>
    <s v="billing Issue"/>
    <x v="3"/>
    <x v="3"/>
    <s v="Y"/>
    <s v="Yes"/>
    <m/>
    <s v="No"/>
    <s v="Customer unhappy with delay"/>
    <s v="No"/>
    <n v="13"/>
    <x v="3"/>
    <x v="3"/>
  </r>
  <r>
    <s v="CMP-1076"/>
    <d v="2025-01-01T00:00:00"/>
    <d v="2025-01-09T00:00:00"/>
    <s v="doc error"/>
    <x v="4"/>
    <x v="4"/>
    <s v="Y"/>
    <s v="Yes"/>
    <s v="Yes"/>
    <s v="Yes"/>
    <s v="Issue not resolved"/>
    <s v="No"/>
    <n v="8"/>
    <x v="5"/>
    <x v="5"/>
  </r>
  <r>
    <s v="CMP-1088"/>
    <d v="2025-03-29T00:00:00"/>
    <d v="2025-04-17T00:00:00"/>
    <s v="Policy Update "/>
    <x v="0"/>
    <x v="2"/>
    <s v="No"/>
    <s v="No"/>
    <s v="Y"/>
    <s v="Yes"/>
    <m/>
    <s v="No"/>
    <n v="19"/>
    <x v="0"/>
    <x v="0"/>
  </r>
  <r>
    <s v="CMP-1269"/>
    <d v="2024-12-21T00:00:00"/>
    <d v="2025-01-09T00:00:00"/>
    <s v="doc error"/>
    <x v="4"/>
    <x v="3"/>
    <m/>
    <s v="No"/>
    <s v="Y"/>
    <s v="Yes"/>
    <s v="Issue not resolved"/>
    <s v="No"/>
    <n v="19"/>
    <x v="2"/>
    <x v="2"/>
  </r>
  <r>
    <s v="CMP-1239"/>
    <d v="2024-11-07T00:00:00"/>
    <d v="2024-11-25T00:00:00"/>
    <s v="Policy Update "/>
    <x v="0"/>
    <x v="0"/>
    <s v="N"/>
    <s v="No"/>
    <m/>
    <s v="No"/>
    <m/>
    <s v="No"/>
    <n v="18"/>
    <x v="4"/>
    <x v="4"/>
  </r>
  <r>
    <s v="CMP-1243"/>
    <d v="2024-10-18T00:00:00"/>
    <d v="2024-11-07T00:00:00"/>
    <s v="Policy update"/>
    <x v="0"/>
    <x v="2"/>
    <s v="N"/>
    <s v="No"/>
    <s v="N"/>
    <s v="No"/>
    <s v="Multiple follow-ups required"/>
    <s v="No"/>
    <n v="20"/>
    <x v="3"/>
    <x v="3"/>
  </r>
  <r>
    <s v="CMP-1074"/>
    <d v="2024-11-08T00:00:00"/>
    <d v="2024-11-21T00:00:00"/>
    <s v="Policy Update "/>
    <x v="0"/>
    <x v="4"/>
    <s v="No"/>
    <s v="No"/>
    <s v="N"/>
    <s v="No"/>
    <s v="Customer unhappy with delay"/>
    <s v="No"/>
    <n v="13"/>
    <x v="4"/>
    <x v="4"/>
  </r>
  <r>
    <s v="CMP-1263"/>
    <d v="2025-01-24T00:00:00"/>
    <d v="2025-02-13T00:00:00"/>
    <s v="communication delay"/>
    <x v="5"/>
    <x v="4"/>
    <s v="no "/>
    <s v="No"/>
    <m/>
    <s v="No"/>
    <m/>
    <s v="No"/>
    <n v="20"/>
    <x v="5"/>
    <x v="5"/>
  </r>
  <r>
    <s v="CMP-1147"/>
    <d v="2025-03-29T00:00:00"/>
    <d v="2025-03-30T00:00:00"/>
    <s v="billing Issue"/>
    <x v="3"/>
    <x v="3"/>
    <s v="No"/>
    <s v="No"/>
    <s v="N"/>
    <s v="No"/>
    <m/>
    <s v="No"/>
    <n v="1"/>
    <x v="0"/>
    <x v="0"/>
  </r>
  <r>
    <s v="CMP-1146"/>
    <d v="2024-11-12T00:00:00"/>
    <m/>
    <s v="doc error"/>
    <x v="4"/>
    <x v="0"/>
    <s v="yes "/>
    <s v="Yes"/>
    <s v="Y"/>
    <s v="Yes"/>
    <m/>
    <s v="Yes"/>
    <s v=""/>
    <x v="4"/>
    <x v="4"/>
  </r>
  <r>
    <s v="CMP-1212"/>
    <d v="2025-04-16T00:00:00"/>
    <d v="2025-05-03T00:00:00"/>
    <s v="doc error"/>
    <x v="4"/>
    <x v="4"/>
    <s v="No"/>
    <s v="No"/>
    <s v="No"/>
    <s v="No"/>
    <m/>
    <s v="No"/>
    <n v="17"/>
    <x v="1"/>
    <x v="1"/>
  </r>
  <r>
    <s v="CMP-1171"/>
    <d v="2025-04-13T00:00:00"/>
    <m/>
    <s v="billing Issue"/>
    <x v="3"/>
    <x v="1"/>
    <s v="yes "/>
    <s v="Yes"/>
    <s v="No"/>
    <s v="No"/>
    <m/>
    <s v="Yes"/>
    <s v=""/>
    <x v="1"/>
    <x v="1"/>
  </r>
  <r>
    <s v="CMP-1109"/>
    <d v="2025-04-14T00:00:00"/>
    <d v="2025-04-17T00:00:00"/>
    <s v="Policy update"/>
    <x v="0"/>
    <x v="3"/>
    <s v="No"/>
    <s v="No"/>
    <s v="Yes"/>
    <s v="Yes"/>
    <s v="Customer unhappy with delay"/>
    <s v="No"/>
    <n v="3"/>
    <x v="1"/>
    <x v="1"/>
  </r>
  <r>
    <s v="CMP-1064"/>
    <d v="2025-02-15T00:00:00"/>
    <m/>
    <s v="Policy Update "/>
    <x v="0"/>
    <x v="4"/>
    <s v="Y"/>
    <s v="Yes"/>
    <s v="No"/>
    <s v="No"/>
    <m/>
    <s v="Yes"/>
    <s v=""/>
    <x v="6"/>
    <x v="6"/>
  </r>
  <r>
    <s v="CMP-1249"/>
    <d v="2025-02-05T00:00:00"/>
    <d v="2025-02-08T00:00:00"/>
    <s v="communication delay"/>
    <x v="5"/>
    <x v="4"/>
    <s v="No"/>
    <s v="No"/>
    <m/>
    <s v="No"/>
    <s v="Multiple follow-ups required"/>
    <s v="No"/>
    <n v="3"/>
    <x v="6"/>
    <x v="6"/>
  </r>
  <r>
    <s v="CMP-1149"/>
    <d v="2025-03-25T00:00:00"/>
    <d v="2025-03-27T00:00:00"/>
    <s v="billing Issue"/>
    <x v="3"/>
    <x v="2"/>
    <s v="N"/>
    <s v="No"/>
    <m/>
    <s v="No"/>
    <m/>
    <s v="No"/>
    <n v="2"/>
    <x v="0"/>
    <x v="0"/>
  </r>
  <r>
    <s v="CMP-1290"/>
    <d v="2024-10-17T00:00:00"/>
    <d v="2024-10-25T00:00:00"/>
    <s v="billing Issue"/>
    <x v="3"/>
    <x v="4"/>
    <s v="N"/>
    <s v="No"/>
    <s v="Yes"/>
    <s v="Yes"/>
    <s v="Multiple follow-ups required"/>
    <s v="No"/>
    <n v="8"/>
    <x v="3"/>
    <x v="3"/>
  </r>
  <r>
    <s v="CMP-1284"/>
    <d v="2025-02-22T00:00:00"/>
    <d v="2025-02-23T00:00:00"/>
    <s v="Documentation error"/>
    <x v="1"/>
    <x v="2"/>
    <s v="N"/>
    <s v="No"/>
    <s v="Y"/>
    <s v="Yes"/>
    <s v="Customer unhappy with delay"/>
    <s v="No"/>
    <n v="1"/>
    <x v="6"/>
    <x v="6"/>
  </r>
  <r>
    <s v="CMP-1228"/>
    <d v="2025-01-09T00:00:00"/>
    <d v="2025-01-17T00:00:00"/>
    <s v="doc error"/>
    <x v="4"/>
    <x v="1"/>
    <s v="no "/>
    <s v="No"/>
    <s v="Y"/>
    <s v="Yes"/>
    <m/>
    <s v="No"/>
    <n v="8"/>
    <x v="5"/>
    <x v="5"/>
  </r>
  <r>
    <s v="CMP-1116"/>
    <d v="2025-03-19T00:00:00"/>
    <m/>
    <s v="billing Issue"/>
    <x v="3"/>
    <x v="1"/>
    <s v="Yes"/>
    <s v="Yes"/>
    <m/>
    <s v="No"/>
    <m/>
    <s v="Yes"/>
    <s v=""/>
    <x v="0"/>
    <x v="0"/>
  </r>
  <r>
    <s v="CMP-1292"/>
    <d v="2025-02-21T00:00:00"/>
    <d v="2025-03-03T00:00:00"/>
    <s v="Documentation error"/>
    <x v="1"/>
    <x v="0"/>
    <s v="yes "/>
    <s v="Yes"/>
    <s v="No"/>
    <s v="No"/>
    <m/>
    <s v="No"/>
    <n v="10"/>
    <x v="6"/>
    <x v="6"/>
  </r>
  <r>
    <s v="CMP-1278"/>
    <d v="2025-02-06T00:00:00"/>
    <m/>
    <s v="Policy update"/>
    <x v="0"/>
    <x v="3"/>
    <s v="N"/>
    <s v="No"/>
    <s v="N"/>
    <s v="No"/>
    <s v="Customer unhappy with delay"/>
    <s v="Yes"/>
    <s v=""/>
    <x v="6"/>
    <x v="6"/>
  </r>
  <r>
    <s v="CMP-1195"/>
    <d v="2024-12-26T00:00:00"/>
    <d v="2025-01-12T00:00:00"/>
    <s v="billing Issue"/>
    <x v="3"/>
    <x v="3"/>
    <s v="Yes"/>
    <s v="Yes"/>
    <s v="Y"/>
    <s v="Yes"/>
    <s v="Multiple follow-ups required"/>
    <s v="No"/>
    <n v="17"/>
    <x v="2"/>
    <x v="2"/>
  </r>
  <r>
    <s v="CMP-1227"/>
    <d v="2025-03-12T00:00:00"/>
    <d v="2025-03-13T00:00:00"/>
    <s v="Documentation error"/>
    <x v="1"/>
    <x v="4"/>
    <s v="Y"/>
    <s v="Yes"/>
    <s v="Y"/>
    <s v="Yes"/>
    <s v="Issue not resolved"/>
    <s v="No"/>
    <n v="1"/>
    <x v="0"/>
    <x v="0"/>
  </r>
  <r>
    <s v="CMP-1189"/>
    <d v="2024-11-08T00:00:00"/>
    <d v="2024-11-13T00:00:00"/>
    <s v="billing Issue"/>
    <x v="3"/>
    <x v="1"/>
    <s v="yes "/>
    <s v="Yes"/>
    <m/>
    <s v="No"/>
    <s v="Issue not resolved"/>
    <s v="No"/>
    <n v="5"/>
    <x v="4"/>
    <x v="4"/>
  </r>
  <r>
    <s v="CMP-1104"/>
    <d v="2025-04-16T00:00:00"/>
    <d v="2025-04-18T00:00:00"/>
    <s v="Service delay"/>
    <x v="2"/>
    <x v="2"/>
    <s v="N"/>
    <s v="No"/>
    <s v="No"/>
    <s v="No"/>
    <s v="Multiple follow-ups required"/>
    <s v="No"/>
    <n v="2"/>
    <x v="1"/>
    <x v="1"/>
  </r>
  <r>
    <s v="CMP-1099"/>
    <d v="2024-10-15T00:00:00"/>
    <m/>
    <s v="Service delay"/>
    <x v="2"/>
    <x v="0"/>
    <s v="No"/>
    <s v="No"/>
    <s v="Yes"/>
    <s v="Yes"/>
    <m/>
    <s v="Yes"/>
    <s v=""/>
    <x v="3"/>
    <x v="3"/>
  </r>
  <r>
    <s v="CMP-1263"/>
    <d v="2024-12-04T00:00:00"/>
    <d v="2024-12-06T00:00:00"/>
    <s v="communication delay"/>
    <x v="5"/>
    <x v="1"/>
    <s v="N"/>
    <s v="No"/>
    <s v="Y"/>
    <s v="Yes"/>
    <s v="Customer unhappy with delay"/>
    <s v="No"/>
    <n v="2"/>
    <x v="2"/>
    <x v="2"/>
  </r>
  <r>
    <s v="CMP-1294"/>
    <d v="2024-10-06T00:00:00"/>
    <m/>
    <s v="Service delay"/>
    <x v="2"/>
    <x v="2"/>
    <s v="no "/>
    <s v="No"/>
    <s v="No"/>
    <s v="No"/>
    <s v="Multiple follow-ups required"/>
    <s v="Yes"/>
    <s v=""/>
    <x v="3"/>
    <x v="3"/>
  </r>
  <r>
    <s v="CMP-1003"/>
    <d v="2024-12-07T00:00:00"/>
    <d v="2024-12-25T00:00:00"/>
    <s v="doc error"/>
    <x v="4"/>
    <x v="0"/>
    <s v="Y"/>
    <s v="Yes"/>
    <m/>
    <s v="No"/>
    <m/>
    <s v="No"/>
    <n v="18"/>
    <x v="2"/>
    <x v="2"/>
  </r>
  <r>
    <s v="CMP-1256"/>
    <d v="2025-02-10T00:00:00"/>
    <d v="2025-02-22T00:00:00"/>
    <s v="billing Issue"/>
    <x v="3"/>
    <x v="3"/>
    <s v="yes "/>
    <s v="Yes"/>
    <s v="N"/>
    <s v="No"/>
    <s v="Customer unhappy with delay"/>
    <s v="No"/>
    <n v="12"/>
    <x v="6"/>
    <x v="6"/>
  </r>
  <r>
    <s v="CMP-1163"/>
    <d v="2025-02-06T00:00:00"/>
    <d v="2025-02-17T00:00:00"/>
    <s v="Policy Update "/>
    <x v="0"/>
    <x v="4"/>
    <s v="no "/>
    <s v="No"/>
    <s v="Yes"/>
    <s v="Yes"/>
    <s v="Multiple follow-ups required"/>
    <s v="No"/>
    <n v="11"/>
    <x v="6"/>
    <x v="6"/>
  </r>
  <r>
    <s v="CMP-1029"/>
    <d v="2024-10-12T00:00:00"/>
    <d v="2024-10-13T00:00:00"/>
    <s v="billing Issue"/>
    <x v="3"/>
    <x v="1"/>
    <m/>
    <s v="No"/>
    <m/>
    <s v="No"/>
    <s v="Multiple follow-ups required"/>
    <s v="No"/>
    <n v="1"/>
    <x v="3"/>
    <x v="3"/>
  </r>
  <r>
    <s v="CMP-1029"/>
    <d v="2025-02-14T00:00:00"/>
    <m/>
    <s v="billing Issue"/>
    <x v="3"/>
    <x v="0"/>
    <s v="yes "/>
    <s v="Yes"/>
    <s v="Yes"/>
    <s v="Yes"/>
    <m/>
    <s v="Yes"/>
    <s v=""/>
    <x v="6"/>
    <x v="6"/>
  </r>
  <r>
    <s v="CMP-1158"/>
    <d v="2025-03-22T00:00:00"/>
    <d v="2025-04-08T00:00:00"/>
    <s v="communication delay"/>
    <x v="5"/>
    <x v="1"/>
    <s v="no "/>
    <s v="No"/>
    <m/>
    <s v="No"/>
    <s v="Issue not resolved"/>
    <s v="No"/>
    <n v="17"/>
    <x v="0"/>
    <x v="0"/>
  </r>
  <r>
    <s v="CMP-1166"/>
    <d v="2025-02-26T00:00:00"/>
    <d v="2025-03-11T00:00:00"/>
    <s v="Policy Update "/>
    <x v="0"/>
    <x v="1"/>
    <s v="no "/>
    <s v="No"/>
    <m/>
    <s v="No"/>
    <s v="Multiple follow-ups required"/>
    <s v="No"/>
    <n v="13"/>
    <x v="6"/>
    <x v="6"/>
  </r>
  <r>
    <s v="CMP-1288"/>
    <d v="2025-04-11T00:00:00"/>
    <d v="2025-05-01T00:00:00"/>
    <s v="doc error"/>
    <x v="4"/>
    <x v="4"/>
    <s v="Yes"/>
    <s v="Yes"/>
    <s v="Yes"/>
    <s v="Yes"/>
    <m/>
    <s v="No"/>
    <n v="20"/>
    <x v="1"/>
    <x v="1"/>
  </r>
  <r>
    <s v="CMP-1210"/>
    <d v="2025-03-24T00:00:00"/>
    <d v="2025-04-11T00:00:00"/>
    <s v="Service delay"/>
    <x v="2"/>
    <x v="4"/>
    <m/>
    <s v="No"/>
    <s v="N"/>
    <s v="No"/>
    <m/>
    <s v="No"/>
    <n v="18"/>
    <x v="0"/>
    <x v="0"/>
  </r>
  <r>
    <s v="CMP-1179"/>
    <d v="2024-12-28T00:00:00"/>
    <d v="2025-01-13T00:00:00"/>
    <s v="communication delay"/>
    <x v="5"/>
    <x v="2"/>
    <s v="N"/>
    <s v="No"/>
    <m/>
    <s v="No"/>
    <m/>
    <s v="No"/>
    <n v="16"/>
    <x v="2"/>
    <x v="2"/>
  </r>
  <r>
    <s v="CMP-1038"/>
    <d v="2024-12-29T00:00:00"/>
    <d v="2024-12-30T00:00:00"/>
    <s v="communication delay"/>
    <x v="5"/>
    <x v="3"/>
    <s v="No"/>
    <s v="No"/>
    <s v="N"/>
    <s v="No"/>
    <s v="Customer unhappy with delay"/>
    <s v="No"/>
    <n v="1"/>
    <x v="2"/>
    <x v="2"/>
  </r>
  <r>
    <s v="CMP-1171"/>
    <d v="2024-12-24T00:00:00"/>
    <d v="2024-12-28T00:00:00"/>
    <s v="doc error"/>
    <x v="4"/>
    <x v="4"/>
    <s v="N"/>
    <s v="No"/>
    <s v="No"/>
    <s v="No"/>
    <s v="Customer unhappy with delay"/>
    <s v="No"/>
    <n v="4"/>
    <x v="2"/>
    <x v="2"/>
  </r>
  <r>
    <s v="CMP-1266"/>
    <d v="2024-11-12T00:00:00"/>
    <m/>
    <s v="Policy update"/>
    <x v="0"/>
    <x v="1"/>
    <s v="N"/>
    <s v="No"/>
    <s v="N"/>
    <s v="No"/>
    <s v="Customer unhappy with delay"/>
    <s v="Yes"/>
    <s v=""/>
    <x v="4"/>
    <x v="4"/>
  </r>
  <r>
    <s v="CMP-1041"/>
    <d v="2024-10-11T00:00:00"/>
    <d v="2024-10-18T00:00:00"/>
    <s v="Service delay"/>
    <x v="2"/>
    <x v="4"/>
    <s v="Y"/>
    <s v="Yes"/>
    <m/>
    <s v="No"/>
    <m/>
    <s v="No"/>
    <n v="7"/>
    <x v="3"/>
    <x v="3"/>
  </r>
  <r>
    <s v="CMP-1129"/>
    <d v="2025-01-09T00:00:00"/>
    <d v="2025-01-21T00:00:00"/>
    <s v="Policy update"/>
    <x v="0"/>
    <x v="0"/>
    <s v="yes "/>
    <s v="Yes"/>
    <s v="No"/>
    <s v="No"/>
    <s v="Multiple follow-ups required"/>
    <s v="No"/>
    <n v="12"/>
    <x v="5"/>
    <x v="5"/>
  </r>
  <r>
    <s v="CMP-1260"/>
    <d v="2024-11-10T00:00:00"/>
    <d v="2024-11-19T00:00:00"/>
    <s v="Policy Update "/>
    <x v="0"/>
    <x v="3"/>
    <m/>
    <s v="No"/>
    <m/>
    <s v="No"/>
    <s v="Customer unhappy with delay"/>
    <s v="No"/>
    <n v="9"/>
    <x v="4"/>
    <x v="4"/>
  </r>
  <r>
    <s v="CMP-1092"/>
    <d v="2025-02-11T00:00:00"/>
    <d v="2025-03-01T00:00:00"/>
    <s v="Service delay"/>
    <x v="2"/>
    <x v="0"/>
    <s v="yes "/>
    <s v="Yes"/>
    <m/>
    <s v="No"/>
    <s v="Customer unhappy with delay"/>
    <s v="No"/>
    <n v="18"/>
    <x v="6"/>
    <x v="6"/>
  </r>
  <r>
    <s v="CMP-1191"/>
    <d v="2025-01-14T00:00:00"/>
    <d v="2025-01-26T00:00:00"/>
    <s v="billing Issue"/>
    <x v="3"/>
    <x v="3"/>
    <s v="Y"/>
    <s v="Yes"/>
    <s v="N"/>
    <s v="No"/>
    <m/>
    <s v="No"/>
    <n v="12"/>
    <x v="5"/>
    <x v="5"/>
  </r>
  <r>
    <s v="CMP-1181"/>
    <d v="2025-04-15T00:00:00"/>
    <d v="2025-04-24T00:00:00"/>
    <s v="Policy Update "/>
    <x v="0"/>
    <x v="0"/>
    <s v="No"/>
    <s v="No"/>
    <s v="Y"/>
    <s v="Yes"/>
    <s v="Multiple follow-ups required"/>
    <s v="No"/>
    <n v="9"/>
    <x v="1"/>
    <x v="1"/>
  </r>
  <r>
    <s v="CMP-1195"/>
    <d v="2024-10-01T00:00:00"/>
    <d v="2024-10-03T00:00:00"/>
    <s v="communication delay"/>
    <x v="5"/>
    <x v="2"/>
    <s v="no "/>
    <s v="No"/>
    <s v="No"/>
    <s v="No"/>
    <s v="Multiple follow-ups required"/>
    <s v="No"/>
    <n v="2"/>
    <x v="3"/>
    <x v="3"/>
  </r>
  <r>
    <s v="CMP-1211"/>
    <d v="2025-03-28T00:00:00"/>
    <d v="2025-04-14T00:00:00"/>
    <s v="billing Issue"/>
    <x v="3"/>
    <x v="0"/>
    <s v="Yes"/>
    <s v="Yes"/>
    <m/>
    <s v="No"/>
    <m/>
    <s v="No"/>
    <n v="17"/>
    <x v="0"/>
    <x v="0"/>
  </r>
  <r>
    <s v="CMP-1124"/>
    <d v="2024-10-29T00:00:00"/>
    <d v="2024-11-08T00:00:00"/>
    <s v="communication delay"/>
    <x v="5"/>
    <x v="0"/>
    <s v="N"/>
    <s v="No"/>
    <s v="Y"/>
    <s v="Yes"/>
    <s v="Multiple follow-ups required"/>
    <s v="No"/>
    <n v="10"/>
    <x v="3"/>
    <x v="3"/>
  </r>
  <r>
    <s v="CMP-1174"/>
    <d v="2024-12-07T00:00:00"/>
    <d v="2024-12-18T00:00:00"/>
    <s v="Policy Update "/>
    <x v="0"/>
    <x v="4"/>
    <s v="yes "/>
    <s v="Yes"/>
    <s v="Yes"/>
    <s v="Yes"/>
    <s v="Issue not resolved"/>
    <s v="No"/>
    <n v="11"/>
    <x v="2"/>
    <x v="2"/>
  </r>
  <r>
    <s v="CMP-1079"/>
    <d v="2024-12-12T00:00:00"/>
    <d v="2024-12-24T00:00:00"/>
    <s v="communication delay"/>
    <x v="5"/>
    <x v="1"/>
    <s v="Y"/>
    <s v="Yes"/>
    <s v="N"/>
    <s v="No"/>
    <s v="Multiple follow-ups required"/>
    <s v="No"/>
    <n v="12"/>
    <x v="2"/>
    <x v="2"/>
  </r>
  <r>
    <s v="CMP-1052"/>
    <d v="2025-02-05T00:00:00"/>
    <d v="2025-02-12T00:00:00"/>
    <s v="billing Issue"/>
    <x v="3"/>
    <x v="0"/>
    <s v="Yes"/>
    <s v="Yes"/>
    <m/>
    <s v="No"/>
    <m/>
    <s v="No"/>
    <n v="7"/>
    <x v="6"/>
    <x v="6"/>
  </r>
  <r>
    <s v="CMP-1296"/>
    <d v="2025-04-17T00:00:00"/>
    <d v="2025-04-30T00:00:00"/>
    <s v="billing Issue"/>
    <x v="3"/>
    <x v="1"/>
    <s v="no "/>
    <s v="No"/>
    <s v="No"/>
    <s v="No"/>
    <s v="Issue not resolved"/>
    <s v="No"/>
    <n v="13"/>
    <x v="1"/>
    <x v="1"/>
  </r>
  <r>
    <s v="CMP-1247"/>
    <d v="2025-03-15T00:00:00"/>
    <d v="2025-04-02T00:00:00"/>
    <s v="communication delay"/>
    <x v="5"/>
    <x v="0"/>
    <s v="Yes"/>
    <s v="Yes"/>
    <m/>
    <s v="No"/>
    <s v="Multiple follow-ups required"/>
    <s v="No"/>
    <n v="18"/>
    <x v="0"/>
    <x v="0"/>
  </r>
  <r>
    <s v="CMP-1213"/>
    <d v="2025-04-17T00:00:00"/>
    <d v="2025-04-22T00:00:00"/>
    <s v="Documentation error"/>
    <x v="1"/>
    <x v="1"/>
    <m/>
    <s v="No"/>
    <s v="Yes"/>
    <s v="Yes"/>
    <s v="Issue not resolved"/>
    <s v="No"/>
    <n v="5"/>
    <x v="1"/>
    <x v="1"/>
  </r>
  <r>
    <s v="CMP-1001"/>
    <d v="2024-12-09T00:00:00"/>
    <d v="2024-12-22T00:00:00"/>
    <s v="communication delay"/>
    <x v="5"/>
    <x v="2"/>
    <s v="Yes"/>
    <s v="Yes"/>
    <m/>
    <s v="No"/>
    <m/>
    <s v="No"/>
    <n v="13"/>
    <x v="2"/>
    <x v="2"/>
  </r>
  <r>
    <s v="CMP-1117"/>
    <d v="2025-02-09T00:00:00"/>
    <d v="2025-02-18T00:00:00"/>
    <s v="billing Issue"/>
    <x v="3"/>
    <x v="0"/>
    <s v="Y"/>
    <s v="Yes"/>
    <s v="No"/>
    <s v="No"/>
    <m/>
    <s v="No"/>
    <n v="9"/>
    <x v="6"/>
    <x v="6"/>
  </r>
  <r>
    <s v="CMP-1286"/>
    <d v="2024-11-06T00:00:00"/>
    <d v="2024-11-21T00:00:00"/>
    <s v="billing Issue"/>
    <x v="3"/>
    <x v="4"/>
    <m/>
    <s v="No"/>
    <s v="No"/>
    <s v="No"/>
    <s v="Multiple follow-ups required"/>
    <s v="No"/>
    <n v="15"/>
    <x v="4"/>
    <x v="4"/>
  </r>
  <r>
    <s v="CMP-1215"/>
    <d v="2024-12-21T00:00:00"/>
    <d v="2025-01-04T00:00:00"/>
    <s v="doc error"/>
    <x v="4"/>
    <x v="2"/>
    <m/>
    <s v="No"/>
    <m/>
    <s v="No"/>
    <s v="Customer unhappy with delay"/>
    <s v="No"/>
    <n v="14"/>
    <x v="2"/>
    <x v="2"/>
  </r>
  <r>
    <s v="CMP-1141"/>
    <d v="2025-02-10T00:00:00"/>
    <d v="2025-03-01T00:00:00"/>
    <s v="Documentation error"/>
    <x v="1"/>
    <x v="3"/>
    <s v="no "/>
    <s v="No"/>
    <s v="N"/>
    <s v="No"/>
    <m/>
    <s v="No"/>
    <n v="19"/>
    <x v="6"/>
    <x v="6"/>
  </r>
  <r>
    <s v="CMP-1105"/>
    <d v="2025-04-04T00:00:00"/>
    <d v="2025-04-16T00:00:00"/>
    <s v="billing Issue"/>
    <x v="3"/>
    <x v="3"/>
    <s v="yes "/>
    <s v="Yes"/>
    <s v="Yes"/>
    <s v="Yes"/>
    <s v="Multiple follow-ups required"/>
    <s v="No"/>
    <n v="12"/>
    <x v="1"/>
    <x v="1"/>
  </r>
  <r>
    <s v="CMP-1224"/>
    <d v="2025-03-24T00:00:00"/>
    <d v="2025-04-06T00:00:00"/>
    <s v="Policy Update "/>
    <x v="0"/>
    <x v="4"/>
    <s v="no "/>
    <s v="No"/>
    <m/>
    <s v="No"/>
    <m/>
    <s v="No"/>
    <n v="13"/>
    <x v="0"/>
    <x v="0"/>
  </r>
  <r>
    <s v="CMP-1181"/>
    <d v="2024-11-02T00:00:00"/>
    <m/>
    <s v="billing Issue"/>
    <x v="3"/>
    <x v="1"/>
    <s v="Yes"/>
    <s v="Yes"/>
    <s v="Y"/>
    <s v="Yes"/>
    <s v="Multiple follow-ups required"/>
    <s v="Yes"/>
    <s v=""/>
    <x v="4"/>
    <x v="4"/>
  </r>
  <r>
    <s v="CMP-1008"/>
    <d v="2025-03-14T00:00:00"/>
    <d v="2025-04-02T00:00:00"/>
    <s v="doc error"/>
    <x v="4"/>
    <x v="3"/>
    <s v="yes "/>
    <s v="Yes"/>
    <s v="No"/>
    <s v="No"/>
    <s v="Multiple follow-ups required"/>
    <s v="No"/>
    <n v="19"/>
    <x v="0"/>
    <x v="0"/>
  </r>
  <r>
    <s v="CMP-1102"/>
    <d v="2024-10-18T00:00:00"/>
    <d v="2024-11-04T00:00:00"/>
    <s v="billing Issue"/>
    <x v="3"/>
    <x v="0"/>
    <s v="N"/>
    <s v="No"/>
    <s v="No"/>
    <s v="No"/>
    <s v="Issue not resolved"/>
    <s v="No"/>
    <n v="17"/>
    <x v="3"/>
    <x v="3"/>
  </r>
  <r>
    <s v="CMP-1108"/>
    <d v="2025-01-18T00:00:00"/>
    <d v="2025-01-29T00:00:00"/>
    <s v="billing Issue"/>
    <x v="3"/>
    <x v="1"/>
    <m/>
    <s v="No"/>
    <m/>
    <s v="No"/>
    <m/>
    <s v="No"/>
    <n v="11"/>
    <x v="5"/>
    <x v="5"/>
  </r>
  <r>
    <s v="CMP-1060"/>
    <d v="2025-01-31T00:00:00"/>
    <d v="2025-02-16T00:00:00"/>
    <s v="billing Issue"/>
    <x v="3"/>
    <x v="3"/>
    <s v="No"/>
    <s v="No"/>
    <s v="No"/>
    <s v="No"/>
    <m/>
    <s v="No"/>
    <n v="16"/>
    <x v="5"/>
    <x v="5"/>
  </r>
  <r>
    <s v="CMP-1241"/>
    <d v="2024-10-12T00:00:00"/>
    <d v="2024-10-14T00:00:00"/>
    <s v="Service delay"/>
    <x v="2"/>
    <x v="2"/>
    <s v="Yes"/>
    <s v="Yes"/>
    <s v="N"/>
    <s v="No"/>
    <m/>
    <s v="No"/>
    <n v="2"/>
    <x v="3"/>
    <x v="3"/>
  </r>
  <r>
    <s v="CMP-1273"/>
    <d v="2024-12-15T00:00:00"/>
    <d v="2024-12-29T00:00:00"/>
    <s v="Documentation error"/>
    <x v="1"/>
    <x v="0"/>
    <s v="no "/>
    <s v="No"/>
    <s v="N"/>
    <s v="No"/>
    <m/>
    <s v="No"/>
    <n v="14"/>
    <x v="2"/>
    <x v="2"/>
  </r>
  <r>
    <s v="CMP-1068"/>
    <d v="2025-03-22T00:00:00"/>
    <d v="2025-04-06T00:00:00"/>
    <s v="Documentation error"/>
    <x v="1"/>
    <x v="0"/>
    <s v="Y"/>
    <s v="Yes"/>
    <s v="N"/>
    <s v="No"/>
    <m/>
    <s v="No"/>
    <n v="15"/>
    <x v="0"/>
    <x v="0"/>
  </r>
  <r>
    <s v="CMP-1123"/>
    <d v="2025-01-18T00:00:00"/>
    <d v="2025-02-07T00:00:00"/>
    <s v="doc error"/>
    <x v="4"/>
    <x v="2"/>
    <s v="Y"/>
    <s v="Yes"/>
    <s v="N"/>
    <s v="No"/>
    <s v="Customer unhappy with delay"/>
    <s v="No"/>
    <n v="20"/>
    <x v="5"/>
    <x v="5"/>
  </r>
  <r>
    <s v="CMP-1213"/>
    <d v="2024-12-31T00:00:00"/>
    <d v="2025-01-11T00:00:00"/>
    <s v="Policy update"/>
    <x v="0"/>
    <x v="3"/>
    <m/>
    <s v="No"/>
    <s v="No"/>
    <s v="No"/>
    <s v="Issue not resolved"/>
    <s v="No"/>
    <n v="11"/>
    <x v="2"/>
    <x v="2"/>
  </r>
  <r>
    <s v="CMP-1093"/>
    <d v="2025-04-06T00:00:00"/>
    <d v="2025-04-14T00:00:00"/>
    <s v="billing Issue"/>
    <x v="3"/>
    <x v="1"/>
    <s v="Yes"/>
    <s v="Yes"/>
    <m/>
    <s v="No"/>
    <m/>
    <s v="No"/>
    <n v="8"/>
    <x v="1"/>
    <x v="1"/>
  </r>
  <r>
    <s v="CMP-1086"/>
    <d v="2025-01-04T00:00:00"/>
    <d v="2025-01-19T00:00:00"/>
    <s v="Documentation error"/>
    <x v="1"/>
    <x v="0"/>
    <s v="yes "/>
    <s v="Yes"/>
    <s v="No"/>
    <s v="No"/>
    <m/>
    <s v="No"/>
    <n v="15"/>
    <x v="5"/>
    <x v="5"/>
  </r>
  <r>
    <s v="CMP-1026"/>
    <d v="2025-01-20T00:00:00"/>
    <d v="2025-01-28T00:00:00"/>
    <s v="communication delay"/>
    <x v="5"/>
    <x v="4"/>
    <s v="no "/>
    <s v="No"/>
    <m/>
    <s v="No"/>
    <m/>
    <s v="No"/>
    <n v="8"/>
    <x v="5"/>
    <x v="5"/>
  </r>
  <r>
    <s v="CMP-1182"/>
    <d v="2024-11-08T00:00:00"/>
    <d v="2024-11-25T00:00:00"/>
    <s v="billing Issue"/>
    <x v="3"/>
    <x v="3"/>
    <s v="Y"/>
    <s v="Yes"/>
    <s v="No"/>
    <s v="No"/>
    <s v="Multiple follow-ups required"/>
    <s v="No"/>
    <n v="17"/>
    <x v="4"/>
    <x v="4"/>
  </r>
  <r>
    <s v="CMP-1153"/>
    <d v="2025-04-07T00:00:00"/>
    <d v="2025-04-24T00:00:00"/>
    <s v="billing Issue"/>
    <x v="3"/>
    <x v="0"/>
    <s v="Y"/>
    <s v="Yes"/>
    <s v="N"/>
    <s v="No"/>
    <s v="Multiple follow-ups required"/>
    <s v="No"/>
    <n v="17"/>
    <x v="1"/>
    <x v="1"/>
  </r>
  <r>
    <s v="CMP-1214"/>
    <d v="2024-11-07T00:00:00"/>
    <d v="2024-11-13T00:00:00"/>
    <s v="Documentation error"/>
    <x v="1"/>
    <x v="0"/>
    <s v="yes "/>
    <s v="Yes"/>
    <m/>
    <s v="No"/>
    <s v="Customer unhappy with delay"/>
    <s v="No"/>
    <n v="6"/>
    <x v="4"/>
    <x v="4"/>
  </r>
  <r>
    <s v="CMP-1047"/>
    <d v="2024-11-30T00:00:00"/>
    <d v="2024-12-14T00:00:00"/>
    <s v="Policy update"/>
    <x v="0"/>
    <x v="1"/>
    <s v="yes "/>
    <s v="Yes"/>
    <m/>
    <s v="No"/>
    <m/>
    <s v="No"/>
    <n v="14"/>
    <x v="4"/>
    <x v="4"/>
  </r>
  <r>
    <s v="CMP-1183"/>
    <d v="2025-04-05T00:00:00"/>
    <d v="2025-04-10T00:00:00"/>
    <s v="Service delay"/>
    <x v="2"/>
    <x v="2"/>
    <s v="yes "/>
    <s v="Yes"/>
    <s v="N"/>
    <s v="No"/>
    <s v="Customer unhappy with delay"/>
    <s v="No"/>
    <n v="5"/>
    <x v="1"/>
    <x v="1"/>
  </r>
  <r>
    <s v="CMP-1284"/>
    <d v="2025-02-06T00:00:00"/>
    <d v="2025-02-17T00:00:00"/>
    <s v="billing Issue"/>
    <x v="3"/>
    <x v="0"/>
    <s v="Y"/>
    <s v="Yes"/>
    <s v="Y"/>
    <s v="Yes"/>
    <s v="Multiple follow-ups required"/>
    <s v="No"/>
    <n v="11"/>
    <x v="6"/>
    <x v="6"/>
  </r>
  <r>
    <s v="CMP-1205"/>
    <d v="2025-02-24T00:00:00"/>
    <d v="2025-03-08T00:00:00"/>
    <s v="Service delay"/>
    <x v="2"/>
    <x v="1"/>
    <s v="yes "/>
    <s v="Yes"/>
    <m/>
    <s v="No"/>
    <s v="Issue not resolved"/>
    <s v="No"/>
    <n v="12"/>
    <x v="6"/>
    <x v="6"/>
  </r>
  <r>
    <s v="CMP-1282"/>
    <d v="2025-01-29T00:00:00"/>
    <d v="2025-02-11T00:00:00"/>
    <s v="Documentation error"/>
    <x v="1"/>
    <x v="0"/>
    <s v="yes "/>
    <s v="Yes"/>
    <m/>
    <s v="No"/>
    <s v="Customer unhappy with delay"/>
    <s v="No"/>
    <n v="13"/>
    <x v="5"/>
    <x v="5"/>
  </r>
  <r>
    <s v="CMP-1282"/>
    <d v="2025-02-27T00:00:00"/>
    <d v="2025-03-12T00:00:00"/>
    <s v="communication delay"/>
    <x v="5"/>
    <x v="3"/>
    <s v="yes "/>
    <s v="Yes"/>
    <m/>
    <s v="No"/>
    <s v="Multiple follow-ups required"/>
    <s v="No"/>
    <n v="13"/>
    <x v="6"/>
    <x v="6"/>
  </r>
  <r>
    <s v="CMP-1179"/>
    <d v="2024-11-11T00:00:00"/>
    <m/>
    <s v="doc error"/>
    <x v="4"/>
    <x v="4"/>
    <s v="N"/>
    <s v="No"/>
    <s v="Y"/>
    <s v="Yes"/>
    <s v="Multiple follow-ups required"/>
    <s v="Yes"/>
    <s v=""/>
    <x v="4"/>
    <x v="4"/>
  </r>
  <r>
    <s v="CMP-1020"/>
    <d v="2024-12-22T00:00:00"/>
    <d v="2025-01-04T00:00:00"/>
    <s v="billing Issue"/>
    <x v="3"/>
    <x v="1"/>
    <s v="Yes"/>
    <s v="Yes"/>
    <s v="No"/>
    <s v="No"/>
    <s v="Customer unhappy with delay"/>
    <s v="No"/>
    <n v="13"/>
    <x v="2"/>
    <x v="2"/>
  </r>
  <r>
    <s v="CMP-1128"/>
    <d v="2024-11-15T00:00:00"/>
    <d v="2024-11-24T00:00:00"/>
    <s v="billing Issue"/>
    <x v="3"/>
    <x v="0"/>
    <m/>
    <s v="No"/>
    <m/>
    <s v="No"/>
    <s v="Customer unhappy with delay"/>
    <s v="No"/>
    <n v="9"/>
    <x v="4"/>
    <x v="4"/>
  </r>
  <r>
    <s v="CMP-1119"/>
    <d v="2024-11-13T00:00:00"/>
    <d v="2024-12-03T00:00:00"/>
    <s v="Documentation error"/>
    <x v="1"/>
    <x v="3"/>
    <s v="Yes"/>
    <s v="Yes"/>
    <s v="No"/>
    <s v="No"/>
    <m/>
    <s v="No"/>
    <n v="20"/>
    <x v="4"/>
    <x v="4"/>
  </r>
  <r>
    <s v="CMP-1192"/>
    <d v="2025-02-18T00:00:00"/>
    <d v="2025-02-21T00:00:00"/>
    <s v="billing Issue"/>
    <x v="3"/>
    <x v="0"/>
    <s v="N"/>
    <s v="No"/>
    <m/>
    <s v="No"/>
    <m/>
    <s v="No"/>
    <n v="3"/>
    <x v="6"/>
    <x v="6"/>
  </r>
  <r>
    <s v="CMP-1007"/>
    <d v="2025-03-01T00:00:00"/>
    <d v="2025-03-15T00:00:00"/>
    <s v="billing Issue"/>
    <x v="3"/>
    <x v="2"/>
    <s v="N"/>
    <s v="No"/>
    <s v="Yes"/>
    <s v="Yes"/>
    <s v="Issue not resolved"/>
    <s v="No"/>
    <n v="14"/>
    <x v="0"/>
    <x v="0"/>
  </r>
  <r>
    <s v="CMP-1009"/>
    <d v="2024-12-27T00:00:00"/>
    <m/>
    <s v="Policy Update "/>
    <x v="0"/>
    <x v="3"/>
    <s v="No"/>
    <s v="No"/>
    <m/>
    <s v="No"/>
    <m/>
    <s v="Yes"/>
    <s v=""/>
    <x v="2"/>
    <x v="2"/>
  </r>
  <r>
    <s v="CMP-1187"/>
    <d v="2024-12-03T00:00:00"/>
    <m/>
    <s v="communication delay"/>
    <x v="5"/>
    <x v="1"/>
    <s v="no "/>
    <s v="No"/>
    <s v="Yes"/>
    <s v="Yes"/>
    <m/>
    <s v="Yes"/>
    <s v=""/>
    <x v="2"/>
    <x v="2"/>
  </r>
  <r>
    <s v="CMP-1206"/>
    <d v="2025-04-08T00:00:00"/>
    <d v="2025-04-24T00:00:00"/>
    <s v="Policy update"/>
    <x v="0"/>
    <x v="0"/>
    <s v="N"/>
    <s v="No"/>
    <s v="No"/>
    <s v="No"/>
    <m/>
    <s v="No"/>
    <n v="16"/>
    <x v="1"/>
    <x v="1"/>
  </r>
  <r>
    <s v="CMP-1117"/>
    <d v="2025-01-19T00:00:00"/>
    <d v="2025-01-28T00:00:00"/>
    <s v="Policy update"/>
    <x v="0"/>
    <x v="4"/>
    <s v="N"/>
    <s v="No"/>
    <s v="Y"/>
    <s v="Yes"/>
    <s v="Customer unhappy with delay"/>
    <s v="No"/>
    <n v="9"/>
    <x v="5"/>
    <x v="5"/>
  </r>
  <r>
    <s v="CMP-1269"/>
    <d v="2024-10-17T00:00:00"/>
    <d v="2024-11-05T00:00:00"/>
    <s v="communication delay"/>
    <x v="5"/>
    <x v="1"/>
    <s v="yes "/>
    <s v="Yes"/>
    <s v="Yes"/>
    <s v="Yes"/>
    <s v="Customer unhappy with delay"/>
    <s v="No"/>
    <n v="19"/>
    <x v="3"/>
    <x v="3"/>
  </r>
  <r>
    <s v="CMP-1266"/>
    <d v="2024-10-04T00:00:00"/>
    <d v="2024-10-24T00:00:00"/>
    <s v="doc error"/>
    <x v="4"/>
    <x v="3"/>
    <s v="Y"/>
    <s v="Yes"/>
    <s v="Y"/>
    <s v="Yes"/>
    <s v="Issue not resolved"/>
    <s v="No"/>
    <n v="20"/>
    <x v="3"/>
    <x v="3"/>
  </r>
  <r>
    <s v="CMP-1147"/>
    <d v="2024-12-28T00:00:00"/>
    <d v="2025-01-03T00:00:00"/>
    <s v="Service delay"/>
    <x v="2"/>
    <x v="3"/>
    <m/>
    <s v="No"/>
    <m/>
    <s v="No"/>
    <s v="Multiple follow-ups required"/>
    <s v="No"/>
    <n v="6"/>
    <x v="2"/>
    <x v="2"/>
  </r>
  <r>
    <s v="CMP-1229"/>
    <d v="2025-04-15T00:00:00"/>
    <d v="2025-04-27T00:00:00"/>
    <s v="billing Issue"/>
    <x v="3"/>
    <x v="4"/>
    <s v="Y"/>
    <s v="Yes"/>
    <s v="Yes"/>
    <s v="Yes"/>
    <s v="Customer unhappy with delay"/>
    <s v="No"/>
    <n v="12"/>
    <x v="1"/>
    <x v="1"/>
  </r>
  <r>
    <s v="CMP-1114"/>
    <d v="2025-01-22T00:00:00"/>
    <d v="2025-01-28T00:00:00"/>
    <s v="communication delay"/>
    <x v="5"/>
    <x v="0"/>
    <s v="No"/>
    <s v="No"/>
    <s v="N"/>
    <s v="No"/>
    <m/>
    <s v="No"/>
    <n v="6"/>
    <x v="5"/>
    <x v="5"/>
  </r>
  <r>
    <s v="CMP-1046"/>
    <d v="2024-11-12T00:00:00"/>
    <d v="2024-11-22T00:00:00"/>
    <s v="communication delay"/>
    <x v="5"/>
    <x v="3"/>
    <m/>
    <s v="No"/>
    <m/>
    <s v="No"/>
    <s v="Multiple follow-ups required"/>
    <s v="No"/>
    <n v="10"/>
    <x v="4"/>
    <x v="4"/>
  </r>
  <r>
    <s v="CMP-1095"/>
    <d v="2025-03-08T00:00:00"/>
    <d v="2025-03-16T00:00:00"/>
    <s v="billing Issue"/>
    <x v="3"/>
    <x v="3"/>
    <m/>
    <s v="No"/>
    <m/>
    <s v="No"/>
    <s v="Multiple follow-ups required"/>
    <s v="No"/>
    <n v="8"/>
    <x v="0"/>
    <x v="0"/>
  </r>
  <r>
    <s v="CMP-1160"/>
    <d v="2025-01-13T00:00:00"/>
    <d v="2025-01-23T00:00:00"/>
    <s v="communication delay"/>
    <x v="5"/>
    <x v="1"/>
    <s v="Y"/>
    <s v="Yes"/>
    <s v="N"/>
    <s v="No"/>
    <m/>
    <s v="No"/>
    <n v="10"/>
    <x v="5"/>
    <x v="5"/>
  </r>
  <r>
    <s v="CMP-1218"/>
    <d v="2025-02-17T00:00:00"/>
    <d v="2025-02-20T00:00:00"/>
    <s v="communication delay"/>
    <x v="5"/>
    <x v="1"/>
    <s v="no "/>
    <s v="No"/>
    <s v="Yes"/>
    <s v="Yes"/>
    <s v="Multiple follow-ups required"/>
    <s v="No"/>
    <n v="3"/>
    <x v="6"/>
    <x v="6"/>
  </r>
  <r>
    <s v="CMP-1072"/>
    <d v="2025-04-02T00:00:00"/>
    <d v="2025-04-19T00:00:00"/>
    <s v="Documentation error"/>
    <x v="1"/>
    <x v="2"/>
    <s v="Yes"/>
    <s v="Yes"/>
    <s v="N"/>
    <s v="No"/>
    <s v="Customer unhappy with delay"/>
    <s v="No"/>
    <n v="17"/>
    <x v="1"/>
    <x v="1"/>
  </r>
  <r>
    <s v="CMP-1199"/>
    <d v="2025-03-05T00:00:00"/>
    <d v="2025-03-19T00:00:00"/>
    <s v="communication delay"/>
    <x v="5"/>
    <x v="1"/>
    <m/>
    <s v="No"/>
    <s v="N"/>
    <s v="No"/>
    <m/>
    <s v="No"/>
    <n v="14"/>
    <x v="0"/>
    <x v="0"/>
  </r>
  <r>
    <s v="CMP-1001"/>
    <d v="2025-02-20T00:00:00"/>
    <d v="2025-03-07T00:00:00"/>
    <s v="Policy update"/>
    <x v="0"/>
    <x v="3"/>
    <s v="No"/>
    <s v="No"/>
    <m/>
    <s v="No"/>
    <m/>
    <s v="No"/>
    <n v="15"/>
    <x v="6"/>
    <x v="6"/>
  </r>
  <r>
    <s v="CMP-1294"/>
    <d v="2025-02-24T00:00:00"/>
    <d v="2025-03-14T00:00:00"/>
    <s v="Policy update"/>
    <x v="0"/>
    <x v="3"/>
    <s v="No"/>
    <s v="No"/>
    <s v="Yes"/>
    <s v="Yes"/>
    <s v="Customer unhappy with delay"/>
    <s v="No"/>
    <n v="18"/>
    <x v="6"/>
    <x v="6"/>
  </r>
  <r>
    <s v="CMP-1206"/>
    <d v="2025-02-22T00:00:00"/>
    <d v="2025-02-25T00:00:00"/>
    <s v="Service delay"/>
    <x v="2"/>
    <x v="2"/>
    <s v="yes "/>
    <s v="Yes"/>
    <m/>
    <s v="No"/>
    <s v="Multiple follow-ups required"/>
    <s v="No"/>
    <n v="3"/>
    <x v="6"/>
    <x v="6"/>
  </r>
  <r>
    <s v="CMP-1173"/>
    <d v="2024-10-29T00:00:00"/>
    <d v="2024-11-05T00:00:00"/>
    <s v="communication delay"/>
    <x v="5"/>
    <x v="4"/>
    <s v="Y"/>
    <s v="Yes"/>
    <s v="Yes"/>
    <s v="Yes"/>
    <s v="Issue not resolved"/>
    <s v="No"/>
    <n v="7"/>
    <x v="3"/>
    <x v="3"/>
  </r>
  <r>
    <s v="CMP-1227"/>
    <d v="2025-03-29T00:00:00"/>
    <d v="2025-04-08T00:00:00"/>
    <s v="billing Issue"/>
    <x v="3"/>
    <x v="3"/>
    <m/>
    <s v="No"/>
    <s v="Y"/>
    <s v="Yes"/>
    <m/>
    <s v="No"/>
    <n v="10"/>
    <x v="0"/>
    <x v="0"/>
  </r>
  <r>
    <s v="CMP-1097"/>
    <d v="2024-12-06T00:00:00"/>
    <d v="2024-12-26T00:00:00"/>
    <s v="Policy Update "/>
    <x v="0"/>
    <x v="4"/>
    <s v="yes "/>
    <s v="Yes"/>
    <s v="N"/>
    <s v="No"/>
    <m/>
    <s v="No"/>
    <n v="20"/>
    <x v="2"/>
    <x v="2"/>
  </r>
  <r>
    <s v="CMP-1220"/>
    <d v="2024-11-16T00:00:00"/>
    <d v="2024-12-01T00:00:00"/>
    <s v="Policy update"/>
    <x v="0"/>
    <x v="0"/>
    <s v="N"/>
    <s v="No"/>
    <s v="Yes"/>
    <s v="Yes"/>
    <s v="Multiple follow-ups required"/>
    <s v="No"/>
    <n v="15"/>
    <x v="4"/>
    <x v="4"/>
  </r>
  <r>
    <s v="CMP-1013"/>
    <d v="2024-11-20T00:00:00"/>
    <d v="2024-11-27T00:00:00"/>
    <s v="communication delay"/>
    <x v="5"/>
    <x v="2"/>
    <s v="no "/>
    <s v="No"/>
    <s v="Y"/>
    <s v="Yes"/>
    <m/>
    <s v="No"/>
    <n v="7"/>
    <x v="4"/>
    <x v="4"/>
  </r>
  <r>
    <s v="CMP-1099"/>
    <d v="2025-01-11T00:00:00"/>
    <d v="2025-01-31T00:00:00"/>
    <s v="billing Issue"/>
    <x v="3"/>
    <x v="0"/>
    <s v="N"/>
    <s v="No"/>
    <m/>
    <s v="No"/>
    <s v="Issue not resolved"/>
    <s v="No"/>
    <n v="20"/>
    <x v="5"/>
    <x v="5"/>
  </r>
  <r>
    <s v="CMP-1297"/>
    <d v="2025-01-10T00:00:00"/>
    <d v="2025-01-11T00:00:00"/>
    <s v="Service delay"/>
    <x v="2"/>
    <x v="3"/>
    <s v="No"/>
    <s v="No"/>
    <m/>
    <s v="No"/>
    <s v="Issue not resolved"/>
    <s v="No"/>
    <n v="1"/>
    <x v="5"/>
    <x v="5"/>
  </r>
  <r>
    <s v="CMP-1255"/>
    <d v="2025-01-03T00:00:00"/>
    <d v="2025-01-13T00:00:00"/>
    <s v="Policy Update "/>
    <x v="0"/>
    <x v="3"/>
    <s v="N"/>
    <s v="No"/>
    <m/>
    <s v="No"/>
    <m/>
    <s v="No"/>
    <n v="10"/>
    <x v="5"/>
    <x v="5"/>
  </r>
  <r>
    <s v="CMP-1156"/>
    <d v="2025-03-04T00:00:00"/>
    <d v="2025-03-23T00:00:00"/>
    <s v="Policy update"/>
    <x v="0"/>
    <x v="0"/>
    <m/>
    <s v="No"/>
    <s v="Yes"/>
    <s v="Yes"/>
    <s v="Issue not resolved"/>
    <s v="No"/>
    <n v="19"/>
    <x v="0"/>
    <x v="0"/>
  </r>
  <r>
    <s v="CMP-1241"/>
    <d v="2024-10-05T00:00:00"/>
    <d v="2024-10-06T00:00:00"/>
    <s v="Policy Update "/>
    <x v="0"/>
    <x v="0"/>
    <s v="Yes"/>
    <s v="Yes"/>
    <s v="N"/>
    <s v="No"/>
    <m/>
    <s v="No"/>
    <n v="1"/>
    <x v="3"/>
    <x v="3"/>
  </r>
  <r>
    <s v="CMP-1265"/>
    <d v="2024-10-11T00:00:00"/>
    <d v="2024-10-21T00:00:00"/>
    <s v="billing Issue"/>
    <x v="3"/>
    <x v="0"/>
    <s v="no "/>
    <s v="No"/>
    <s v="Y"/>
    <s v="Yes"/>
    <m/>
    <s v="No"/>
    <n v="10"/>
    <x v="3"/>
    <x v="3"/>
  </r>
  <r>
    <s v="CMP-1036"/>
    <d v="2025-04-18T00:00:00"/>
    <m/>
    <s v="Policy Update "/>
    <x v="0"/>
    <x v="4"/>
    <s v="yes "/>
    <s v="Yes"/>
    <s v="No"/>
    <s v="No"/>
    <m/>
    <s v="Yes"/>
    <s v=""/>
    <x v="1"/>
    <x v="1"/>
  </r>
  <r>
    <s v="CMP-1071"/>
    <d v="2025-04-13T00:00:00"/>
    <d v="2025-04-21T00:00:00"/>
    <s v="communication delay"/>
    <x v="5"/>
    <x v="0"/>
    <s v="yes "/>
    <s v="Yes"/>
    <m/>
    <s v="No"/>
    <s v="Multiple follow-ups required"/>
    <s v="No"/>
    <n v="8"/>
    <x v="1"/>
    <x v="1"/>
  </r>
  <r>
    <s v="CMP-1300"/>
    <d v="2025-03-07T00:00:00"/>
    <d v="2025-03-19T00:00:00"/>
    <s v="communication delay"/>
    <x v="5"/>
    <x v="1"/>
    <m/>
    <s v="No"/>
    <s v="N"/>
    <s v="No"/>
    <s v="Customer unhappy with delay"/>
    <s v="No"/>
    <n v="12"/>
    <x v="0"/>
    <x v="0"/>
  </r>
  <r>
    <s v="CMP-1288"/>
    <d v="2025-04-12T00:00:00"/>
    <d v="2025-04-16T00:00:00"/>
    <s v="billing Issue"/>
    <x v="3"/>
    <x v="2"/>
    <s v="N"/>
    <s v="No"/>
    <m/>
    <s v="No"/>
    <s v="Customer unhappy with delay"/>
    <s v="No"/>
    <n v="4"/>
    <x v="1"/>
    <x v="1"/>
  </r>
  <r>
    <s v="CMP-1295"/>
    <d v="2024-11-27T00:00:00"/>
    <d v="2024-11-29T00:00:00"/>
    <s v="doc error"/>
    <x v="4"/>
    <x v="3"/>
    <s v="yes "/>
    <s v="Yes"/>
    <s v="No"/>
    <s v="No"/>
    <s v="Multiple follow-ups required"/>
    <s v="No"/>
    <n v="2"/>
    <x v="4"/>
    <x v="4"/>
  </r>
  <r>
    <s v="CMP-1231"/>
    <d v="2025-04-10T00:00:00"/>
    <m/>
    <s v="Policy Update "/>
    <x v="0"/>
    <x v="3"/>
    <m/>
    <s v="No"/>
    <s v="N"/>
    <s v="No"/>
    <m/>
    <s v="Yes"/>
    <s v=""/>
    <x v="1"/>
    <x v="1"/>
  </r>
  <r>
    <s v="CMP-1069"/>
    <d v="2025-01-21T00:00:00"/>
    <d v="2025-01-28T00:00:00"/>
    <s v="Documentation error"/>
    <x v="1"/>
    <x v="1"/>
    <s v="no "/>
    <s v="No"/>
    <s v="No"/>
    <s v="No"/>
    <s v="Multiple follow-ups required"/>
    <s v="No"/>
    <n v="7"/>
    <x v="5"/>
    <x v="5"/>
  </r>
  <r>
    <s v="CMP-1090"/>
    <d v="2025-01-12T00:00:00"/>
    <d v="2025-01-26T00:00:00"/>
    <s v="billing Issue"/>
    <x v="3"/>
    <x v="0"/>
    <s v="Y"/>
    <s v="Yes"/>
    <s v="N"/>
    <s v="No"/>
    <m/>
    <s v="No"/>
    <n v="14"/>
    <x v="5"/>
    <x v="5"/>
  </r>
  <r>
    <s v="CMP-1021"/>
    <d v="2025-04-08T00:00:00"/>
    <d v="2025-04-16T00:00:00"/>
    <s v="Policy update"/>
    <x v="0"/>
    <x v="0"/>
    <s v="no "/>
    <s v="No"/>
    <s v="N"/>
    <s v="No"/>
    <s v="Multiple follow-ups required"/>
    <s v="No"/>
    <n v="8"/>
    <x v="1"/>
    <x v="1"/>
  </r>
  <r>
    <s v="CMP-1009"/>
    <d v="2025-02-17T00:00:00"/>
    <d v="2025-03-02T00:00:00"/>
    <s v="Documentation error"/>
    <x v="1"/>
    <x v="0"/>
    <s v="No"/>
    <s v="No"/>
    <s v="Y"/>
    <s v="Yes"/>
    <s v="Issue not resolved"/>
    <s v="No"/>
    <n v="13"/>
    <x v="6"/>
    <x v="6"/>
  </r>
  <r>
    <s v="CMP-1045"/>
    <d v="2025-03-11T00:00:00"/>
    <d v="2025-03-25T00:00:00"/>
    <s v="billing Issue"/>
    <x v="3"/>
    <x v="1"/>
    <m/>
    <s v="No"/>
    <s v="N"/>
    <s v="No"/>
    <s v="Issue not resolved"/>
    <s v="No"/>
    <n v="14"/>
    <x v="0"/>
    <x v="0"/>
  </r>
  <r>
    <s v="CMP-1246"/>
    <d v="2025-03-14T00:00:00"/>
    <d v="2025-03-22T00:00:00"/>
    <s v="billing Issue"/>
    <x v="3"/>
    <x v="1"/>
    <s v="N"/>
    <s v="No"/>
    <m/>
    <s v="No"/>
    <m/>
    <s v="No"/>
    <n v="8"/>
    <x v="0"/>
    <x v="0"/>
  </r>
  <r>
    <s v="CMP-1175"/>
    <d v="2025-03-11T00:00:00"/>
    <d v="2025-03-22T00:00:00"/>
    <s v="Policy Update "/>
    <x v="0"/>
    <x v="4"/>
    <s v="No"/>
    <s v="No"/>
    <s v="Y"/>
    <s v="Yes"/>
    <s v="Multiple follow-ups required"/>
    <s v="No"/>
    <n v="11"/>
    <x v="0"/>
    <x v="0"/>
  </r>
  <r>
    <s v="CMP-1080"/>
    <d v="2024-11-13T00:00:00"/>
    <d v="2024-11-22T00:00:00"/>
    <s v="Policy update"/>
    <x v="0"/>
    <x v="0"/>
    <s v="no "/>
    <s v="No"/>
    <s v="Y"/>
    <s v="Yes"/>
    <m/>
    <s v="No"/>
    <n v="9"/>
    <x v="4"/>
    <x v="4"/>
  </r>
  <r>
    <s v="CMP-1228"/>
    <d v="2024-11-30T00:00:00"/>
    <d v="2024-12-20T00:00:00"/>
    <s v="Documentation error"/>
    <x v="1"/>
    <x v="3"/>
    <s v="Yes"/>
    <s v="Yes"/>
    <m/>
    <s v="No"/>
    <m/>
    <s v="No"/>
    <n v="20"/>
    <x v="4"/>
    <x v="4"/>
  </r>
  <r>
    <s v="CMP-1131"/>
    <d v="2024-10-21T00:00:00"/>
    <d v="2024-10-31T00:00:00"/>
    <s v="communication delay"/>
    <x v="5"/>
    <x v="3"/>
    <m/>
    <s v="No"/>
    <s v="N"/>
    <s v="No"/>
    <m/>
    <s v="No"/>
    <n v="10"/>
    <x v="3"/>
    <x v="3"/>
  </r>
  <r>
    <s v="CMP-1106"/>
    <d v="2024-10-19T00:00:00"/>
    <d v="2024-10-22T00:00:00"/>
    <s v="billing Issue"/>
    <x v="3"/>
    <x v="2"/>
    <m/>
    <s v="No"/>
    <s v="Y"/>
    <s v="Yes"/>
    <m/>
    <s v="No"/>
    <n v="3"/>
    <x v="3"/>
    <x v="3"/>
  </r>
  <r>
    <s v="CMP-1056"/>
    <d v="2024-10-22T00:00:00"/>
    <d v="2024-10-27T00:00:00"/>
    <s v="billing Issue"/>
    <x v="3"/>
    <x v="4"/>
    <s v="yes "/>
    <s v="Yes"/>
    <s v="No"/>
    <s v="No"/>
    <s v="Multiple follow-ups required"/>
    <s v="No"/>
    <n v="5"/>
    <x v="3"/>
    <x v="3"/>
  </r>
  <r>
    <s v="CMP-1156"/>
    <d v="2025-02-19T00:00:00"/>
    <d v="2025-03-07T00:00:00"/>
    <s v="Policy Update "/>
    <x v="0"/>
    <x v="4"/>
    <s v="no "/>
    <s v="No"/>
    <s v="Yes"/>
    <s v="Yes"/>
    <s v="Multiple follow-ups required"/>
    <s v="No"/>
    <n v="16"/>
    <x v="6"/>
    <x v="6"/>
  </r>
  <r>
    <s v="CMP-1066"/>
    <d v="2025-01-01T00:00:00"/>
    <d v="2025-01-20T00:00:00"/>
    <s v="doc error"/>
    <x v="4"/>
    <x v="2"/>
    <m/>
    <s v="No"/>
    <s v="No"/>
    <s v="No"/>
    <m/>
    <s v="No"/>
    <n v="19"/>
    <x v="5"/>
    <x v="5"/>
  </r>
  <r>
    <s v="CMP-1257"/>
    <d v="2024-10-15T00:00:00"/>
    <d v="2024-10-26T00:00:00"/>
    <s v="billing Issue"/>
    <x v="3"/>
    <x v="4"/>
    <s v="yes "/>
    <s v="Yes"/>
    <s v="Y"/>
    <s v="Yes"/>
    <s v="Issue not resolved"/>
    <s v="No"/>
    <n v="11"/>
    <x v="3"/>
    <x v="3"/>
  </r>
  <r>
    <s v="CMP-1254"/>
    <d v="2025-01-27T00:00:00"/>
    <d v="2025-01-31T00:00:00"/>
    <s v="Service delay"/>
    <x v="2"/>
    <x v="2"/>
    <s v="N"/>
    <s v="No"/>
    <m/>
    <s v="No"/>
    <m/>
    <s v="No"/>
    <n v="4"/>
    <x v="5"/>
    <x v="5"/>
  </r>
  <r>
    <s v="CMP-1120"/>
    <d v="2025-03-07T00:00:00"/>
    <d v="2025-03-27T00:00:00"/>
    <s v="communication delay"/>
    <x v="5"/>
    <x v="3"/>
    <s v="yes "/>
    <s v="Yes"/>
    <s v="Y"/>
    <s v="Yes"/>
    <m/>
    <s v="No"/>
    <n v="20"/>
    <x v="0"/>
    <x v="0"/>
  </r>
  <r>
    <s v="CMP-1043"/>
    <d v="2025-03-06T00:00:00"/>
    <d v="2025-03-07T00:00:00"/>
    <s v="Documentation error"/>
    <x v="1"/>
    <x v="4"/>
    <s v="Y"/>
    <s v="Yes"/>
    <m/>
    <s v="No"/>
    <s v="Issue not resolved"/>
    <s v="No"/>
    <n v="1"/>
    <x v="0"/>
    <x v="0"/>
  </r>
  <r>
    <s v="CMP-1023"/>
    <d v="2025-02-04T00:00:00"/>
    <d v="2025-02-13T00:00:00"/>
    <s v="doc error"/>
    <x v="4"/>
    <x v="3"/>
    <s v="yes "/>
    <s v="Yes"/>
    <m/>
    <s v="No"/>
    <s v="Issue not resolved"/>
    <s v="No"/>
    <n v="9"/>
    <x v="6"/>
    <x v="6"/>
  </r>
  <r>
    <s v="CMP-1277"/>
    <d v="2025-03-19T00:00:00"/>
    <d v="2025-04-07T00:00:00"/>
    <s v="communication delay"/>
    <x v="5"/>
    <x v="2"/>
    <s v="Y"/>
    <s v="Yes"/>
    <s v="N"/>
    <s v="No"/>
    <s v="Customer unhappy with delay"/>
    <s v="No"/>
    <n v="19"/>
    <x v="0"/>
    <x v="0"/>
  </r>
  <r>
    <s v="CMP-1246"/>
    <d v="2024-12-08T00:00:00"/>
    <d v="2024-12-11T00:00:00"/>
    <s v="billing Issue"/>
    <x v="3"/>
    <x v="3"/>
    <s v="N"/>
    <s v="No"/>
    <m/>
    <s v="No"/>
    <m/>
    <s v="No"/>
    <n v="3"/>
    <x v="2"/>
    <x v="2"/>
  </r>
  <r>
    <s v="CMP-1150"/>
    <d v="2025-01-06T00:00:00"/>
    <d v="2025-01-19T00:00:00"/>
    <s v="billing Issue"/>
    <x v="3"/>
    <x v="2"/>
    <s v="Y"/>
    <s v="Yes"/>
    <s v="N"/>
    <s v="No"/>
    <s v="Customer unhappy with delay"/>
    <s v="No"/>
    <n v="13"/>
    <x v="5"/>
    <x v="5"/>
  </r>
  <r>
    <s v="CMP-1252"/>
    <d v="2025-02-18T00:00:00"/>
    <m/>
    <s v="communication delay"/>
    <x v="5"/>
    <x v="0"/>
    <s v="no "/>
    <s v="No"/>
    <m/>
    <s v="No"/>
    <m/>
    <s v="Yes"/>
    <s v=""/>
    <x v="6"/>
    <x v="6"/>
  </r>
  <r>
    <s v="CMP-1125"/>
    <d v="2025-03-02T00:00:00"/>
    <m/>
    <s v="Policy update"/>
    <x v="0"/>
    <x v="3"/>
    <s v="Y"/>
    <s v="Yes"/>
    <m/>
    <s v="No"/>
    <m/>
    <s v="Yes"/>
    <s v=""/>
    <x v="0"/>
    <x v="0"/>
  </r>
  <r>
    <s v="CMP-1079"/>
    <d v="2024-12-04T00:00:00"/>
    <d v="2024-12-15T00:00:00"/>
    <s v="billing Issue"/>
    <x v="3"/>
    <x v="1"/>
    <m/>
    <s v="No"/>
    <s v="N"/>
    <s v="No"/>
    <s v="Multiple follow-ups required"/>
    <s v="No"/>
    <n v="11"/>
    <x v="2"/>
    <x v="2"/>
  </r>
  <r>
    <s v="CMP-1188"/>
    <d v="2024-11-24T00:00:00"/>
    <m/>
    <s v="communication delay"/>
    <x v="5"/>
    <x v="0"/>
    <s v="no "/>
    <s v="No"/>
    <s v="No"/>
    <s v="No"/>
    <s v="Customer unhappy with delay"/>
    <s v="Yes"/>
    <s v=""/>
    <x v="4"/>
    <x v="4"/>
  </r>
  <r>
    <s v="CMP-1173"/>
    <d v="2025-01-28T00:00:00"/>
    <d v="2025-02-08T00:00:00"/>
    <s v="Service delay"/>
    <x v="2"/>
    <x v="4"/>
    <s v="Yes"/>
    <s v="Yes"/>
    <s v="Y"/>
    <s v="Yes"/>
    <s v="Issue not resolved"/>
    <s v="No"/>
    <n v="11"/>
    <x v="5"/>
    <x v="5"/>
  </r>
  <r>
    <s v="CMP-1233"/>
    <d v="2025-01-15T00:00:00"/>
    <d v="2025-01-29T00:00:00"/>
    <s v="Documentation error"/>
    <x v="1"/>
    <x v="0"/>
    <s v="yes "/>
    <s v="Yes"/>
    <m/>
    <s v="No"/>
    <s v="Customer unhappy with delay"/>
    <s v="No"/>
    <n v="14"/>
    <x v="5"/>
    <x v="5"/>
  </r>
  <r>
    <s v="CMP-1158"/>
    <d v="2024-11-12T00:00:00"/>
    <d v="2024-11-28T00:00:00"/>
    <s v="Policy update"/>
    <x v="0"/>
    <x v="3"/>
    <s v="yes "/>
    <s v="Yes"/>
    <s v="No"/>
    <s v="No"/>
    <m/>
    <s v="No"/>
    <n v="16"/>
    <x v="4"/>
    <x v="4"/>
  </r>
  <r>
    <s v="CMP-1020"/>
    <d v="2024-10-16T00:00:00"/>
    <d v="2024-10-22T00:00:00"/>
    <s v="billing Issue"/>
    <x v="3"/>
    <x v="0"/>
    <s v="Y"/>
    <s v="Yes"/>
    <s v="Yes"/>
    <s v="Yes"/>
    <s v="Issue not resolved"/>
    <s v="No"/>
    <n v="6"/>
    <x v="3"/>
    <x v="3"/>
  </r>
  <r>
    <s v="CMP-1294"/>
    <d v="2024-12-16T00:00:00"/>
    <d v="2024-12-31T00:00:00"/>
    <s v="billing Issue"/>
    <x v="3"/>
    <x v="3"/>
    <m/>
    <s v="No"/>
    <s v="Y"/>
    <s v="Yes"/>
    <s v="Customer unhappy with delay"/>
    <s v="No"/>
    <n v="15"/>
    <x v="2"/>
    <x v="2"/>
  </r>
  <r>
    <s v="CMP-1127"/>
    <d v="2025-01-07T00:00:00"/>
    <d v="2025-01-22T00:00:00"/>
    <s v="doc error"/>
    <x v="4"/>
    <x v="1"/>
    <s v="Y"/>
    <s v="Yes"/>
    <s v="No"/>
    <s v="No"/>
    <m/>
    <s v="No"/>
    <n v="15"/>
    <x v="5"/>
    <x v="5"/>
  </r>
  <r>
    <s v="CMP-1159"/>
    <d v="2024-12-02T00:00:00"/>
    <d v="2024-12-14T00:00:00"/>
    <s v="Documentation error"/>
    <x v="1"/>
    <x v="1"/>
    <s v="yes "/>
    <s v="Yes"/>
    <s v="N"/>
    <s v="No"/>
    <m/>
    <s v="No"/>
    <n v="12"/>
    <x v="2"/>
    <x v="2"/>
  </r>
  <r>
    <s v="CMP-1103"/>
    <d v="2025-03-23T00:00:00"/>
    <m/>
    <s v="billing Issue"/>
    <x v="3"/>
    <x v="2"/>
    <s v="Yes"/>
    <s v="Yes"/>
    <s v="N"/>
    <s v="No"/>
    <s v="Customer unhappy with delay"/>
    <s v="Yes"/>
    <s v=""/>
    <x v="0"/>
    <x v="0"/>
  </r>
  <r>
    <s v="CMP-1112"/>
    <d v="2024-10-06T00:00:00"/>
    <d v="2024-10-07T00:00:00"/>
    <s v="Service delay"/>
    <x v="2"/>
    <x v="2"/>
    <s v="Y"/>
    <s v="Yes"/>
    <s v="No"/>
    <s v="No"/>
    <s v="Issue not resolved"/>
    <s v="No"/>
    <n v="1"/>
    <x v="3"/>
    <x v="3"/>
  </r>
  <r>
    <s v="CMP-1042"/>
    <d v="2024-11-01T00:00:00"/>
    <m/>
    <s v="billing Issue"/>
    <x v="3"/>
    <x v="1"/>
    <s v="Y"/>
    <s v="Yes"/>
    <s v="No"/>
    <s v="No"/>
    <m/>
    <s v="Yes"/>
    <s v=""/>
    <x v="4"/>
    <x v="4"/>
  </r>
  <r>
    <s v="CMP-1098"/>
    <d v="2024-12-20T00:00:00"/>
    <d v="2024-12-30T00:00:00"/>
    <s v="billing Issue"/>
    <x v="3"/>
    <x v="0"/>
    <s v="Yes"/>
    <s v="Yes"/>
    <s v="N"/>
    <s v="No"/>
    <m/>
    <s v="No"/>
    <n v="10"/>
    <x v="2"/>
    <x v="2"/>
  </r>
  <r>
    <s v="CMP-1065"/>
    <d v="2025-03-13T00:00:00"/>
    <m/>
    <s v="Policy Update "/>
    <x v="0"/>
    <x v="0"/>
    <s v="No"/>
    <s v="No"/>
    <s v="No"/>
    <s v="No"/>
    <m/>
    <s v="Yes"/>
    <s v=""/>
    <x v="0"/>
    <x v="0"/>
  </r>
  <r>
    <s v="CMP-1283"/>
    <d v="2025-04-12T00:00:00"/>
    <d v="2025-05-01T00:00:00"/>
    <s v="Documentation error"/>
    <x v="1"/>
    <x v="1"/>
    <s v="No"/>
    <s v="No"/>
    <s v="N"/>
    <s v="No"/>
    <m/>
    <s v="No"/>
    <n v="19"/>
    <x v="1"/>
    <x v="1"/>
  </r>
  <r>
    <s v="CMP-1089"/>
    <d v="2025-03-13T00:00:00"/>
    <d v="2025-03-16T00:00:00"/>
    <s v="doc error"/>
    <x v="4"/>
    <x v="0"/>
    <s v="no "/>
    <s v="No"/>
    <s v="N"/>
    <s v="No"/>
    <s v="Multiple follow-ups required"/>
    <s v="No"/>
    <n v="3"/>
    <x v="0"/>
    <x v="0"/>
  </r>
  <r>
    <s v="CMP-1228"/>
    <d v="2024-10-14T00:00:00"/>
    <d v="2024-10-18T00:00:00"/>
    <s v="doc error"/>
    <x v="4"/>
    <x v="0"/>
    <s v="yes "/>
    <s v="Yes"/>
    <m/>
    <s v="No"/>
    <s v="Customer unhappy with delay"/>
    <s v="No"/>
    <n v="4"/>
    <x v="3"/>
    <x v="3"/>
  </r>
  <r>
    <s v="CMP-1019"/>
    <d v="2025-01-03T00:00:00"/>
    <d v="2025-01-10T00:00:00"/>
    <s v="communication delay"/>
    <x v="5"/>
    <x v="4"/>
    <m/>
    <s v="No"/>
    <m/>
    <s v="No"/>
    <m/>
    <s v="No"/>
    <n v="7"/>
    <x v="5"/>
    <x v="5"/>
  </r>
  <r>
    <s v="CMP-1022"/>
    <d v="2024-12-23T00:00:00"/>
    <d v="2025-01-11T00:00:00"/>
    <s v="Policy update"/>
    <x v="0"/>
    <x v="1"/>
    <m/>
    <s v="No"/>
    <s v="No"/>
    <s v="No"/>
    <m/>
    <s v="No"/>
    <n v="19"/>
    <x v="2"/>
    <x v="2"/>
  </r>
  <r>
    <s v="CMP-1064"/>
    <d v="2025-03-16T00:00:00"/>
    <d v="2025-03-22T00:00:00"/>
    <s v="Policy update"/>
    <x v="0"/>
    <x v="0"/>
    <s v="yes "/>
    <s v="Yes"/>
    <s v="Yes"/>
    <s v="Yes"/>
    <s v="Multiple follow-ups required"/>
    <s v="No"/>
    <n v="6"/>
    <x v="0"/>
    <x v="0"/>
  </r>
  <r>
    <s v="CMP-1256"/>
    <d v="2025-01-30T00:00:00"/>
    <d v="2025-02-17T00:00:00"/>
    <s v="doc error"/>
    <x v="4"/>
    <x v="0"/>
    <s v="no "/>
    <s v="No"/>
    <s v="No"/>
    <s v="No"/>
    <m/>
    <s v="No"/>
    <n v="18"/>
    <x v="5"/>
    <x v="5"/>
  </r>
  <r>
    <s v="CMP-1225"/>
    <d v="2024-12-19T00:00:00"/>
    <m/>
    <s v="billing Issue"/>
    <x v="3"/>
    <x v="3"/>
    <s v="yes "/>
    <s v="Yes"/>
    <s v="Yes"/>
    <s v="Yes"/>
    <m/>
    <s v="Yes"/>
    <s v=""/>
    <x v="2"/>
    <x v="2"/>
  </r>
  <r>
    <s v="CMP-1181"/>
    <d v="2025-04-13T00:00:00"/>
    <d v="2025-04-22T00:00:00"/>
    <s v="doc error"/>
    <x v="4"/>
    <x v="4"/>
    <s v="Y"/>
    <s v="Yes"/>
    <s v="No"/>
    <s v="No"/>
    <s v="Multiple follow-ups required"/>
    <s v="No"/>
    <n v="9"/>
    <x v="1"/>
    <x v="1"/>
  </r>
  <r>
    <s v="CMP-1208"/>
    <d v="2024-12-10T00:00:00"/>
    <d v="2024-12-20T00:00:00"/>
    <s v="communication delay"/>
    <x v="5"/>
    <x v="1"/>
    <s v="N"/>
    <s v="No"/>
    <s v="Y"/>
    <s v="Yes"/>
    <m/>
    <s v="No"/>
    <n v="10"/>
    <x v="2"/>
    <x v="2"/>
  </r>
  <r>
    <s v="CMP-1079"/>
    <d v="2024-12-04T00:00:00"/>
    <d v="2024-12-23T00:00:00"/>
    <s v="Policy update"/>
    <x v="0"/>
    <x v="2"/>
    <s v="no "/>
    <s v="No"/>
    <m/>
    <s v="No"/>
    <m/>
    <s v="No"/>
    <n v="19"/>
    <x v="2"/>
    <x v="2"/>
  </r>
  <r>
    <s v="CMP-1040"/>
    <d v="2025-03-03T00:00:00"/>
    <d v="2025-03-11T00:00:00"/>
    <s v="Documentation error"/>
    <x v="1"/>
    <x v="1"/>
    <s v="no "/>
    <s v="No"/>
    <s v="Y"/>
    <s v="Yes"/>
    <m/>
    <s v="No"/>
    <n v="8"/>
    <x v="0"/>
    <x v="0"/>
  </r>
  <r>
    <s v="CMP-1066"/>
    <d v="2025-02-13T00:00:00"/>
    <d v="2025-03-02T00:00:00"/>
    <s v="billing Issue"/>
    <x v="3"/>
    <x v="4"/>
    <s v="no "/>
    <s v="No"/>
    <m/>
    <s v="No"/>
    <s v="Multiple follow-ups required"/>
    <s v="No"/>
    <n v="17"/>
    <x v="6"/>
    <x v="6"/>
  </r>
  <r>
    <s v="CMP-1175"/>
    <d v="2025-03-31T00:00:00"/>
    <m/>
    <s v="communication delay"/>
    <x v="5"/>
    <x v="2"/>
    <s v="N"/>
    <s v="No"/>
    <m/>
    <s v="No"/>
    <s v="Multiple follow-ups required"/>
    <s v="Yes"/>
    <s v=""/>
    <x v="0"/>
    <x v="0"/>
  </r>
  <r>
    <s v="CMP-1064"/>
    <d v="2025-02-25T00:00:00"/>
    <d v="2025-03-12T00:00:00"/>
    <s v="billing Issue"/>
    <x v="3"/>
    <x v="0"/>
    <s v="N"/>
    <s v="No"/>
    <s v="No"/>
    <s v="No"/>
    <m/>
    <s v="No"/>
    <n v="15"/>
    <x v="6"/>
    <x v="6"/>
  </r>
  <r>
    <s v="CMP-1258"/>
    <d v="2024-11-18T00:00:00"/>
    <d v="2024-11-19T00:00:00"/>
    <s v="Service delay"/>
    <x v="2"/>
    <x v="2"/>
    <s v="Y"/>
    <s v="Yes"/>
    <s v="Y"/>
    <s v="Yes"/>
    <s v="Customer unhappy with delay"/>
    <s v="No"/>
    <n v="1"/>
    <x v="4"/>
    <x v="4"/>
  </r>
  <r>
    <s v="CMP-1170"/>
    <d v="2025-01-31T00:00:00"/>
    <d v="2025-02-04T00:00:00"/>
    <s v="communication delay"/>
    <x v="5"/>
    <x v="0"/>
    <s v="Yes"/>
    <s v="Yes"/>
    <s v="Y"/>
    <s v="Yes"/>
    <s v="Multiple follow-ups required"/>
    <s v="No"/>
    <n v="4"/>
    <x v="5"/>
    <x v="5"/>
  </r>
  <r>
    <s v="CMP-1259"/>
    <d v="2025-02-21T00:00:00"/>
    <d v="2025-03-02T00:00:00"/>
    <s v="doc error"/>
    <x v="4"/>
    <x v="4"/>
    <s v="N"/>
    <s v="No"/>
    <s v="Yes"/>
    <s v="Yes"/>
    <m/>
    <s v="No"/>
    <n v="9"/>
    <x v="6"/>
    <x v="6"/>
  </r>
  <r>
    <s v="CMP-1075"/>
    <d v="2025-04-17T00:00:00"/>
    <m/>
    <s v="billing Issue"/>
    <x v="3"/>
    <x v="0"/>
    <s v="No"/>
    <s v="No"/>
    <s v="No"/>
    <s v="No"/>
    <s v="Issue not resolved"/>
    <s v="Yes"/>
    <s v=""/>
    <x v="1"/>
    <x v="1"/>
  </r>
  <r>
    <s v="CMP-1135"/>
    <d v="2025-03-14T00:00:00"/>
    <d v="2025-03-28T00:00:00"/>
    <s v="communication delay"/>
    <x v="5"/>
    <x v="2"/>
    <s v="N"/>
    <s v="No"/>
    <s v="No"/>
    <s v="No"/>
    <s v="Customer unhappy with delay"/>
    <s v="No"/>
    <n v="14"/>
    <x v="0"/>
    <x v="0"/>
  </r>
  <r>
    <s v="CMP-1191"/>
    <d v="2025-02-02T00:00:00"/>
    <d v="2025-02-15T00:00:00"/>
    <s v="communication delay"/>
    <x v="5"/>
    <x v="2"/>
    <m/>
    <s v="No"/>
    <s v="Yes"/>
    <s v="Yes"/>
    <m/>
    <s v="No"/>
    <n v="13"/>
    <x v="6"/>
    <x v="6"/>
  </r>
  <r>
    <s v="CMP-1262"/>
    <d v="2024-11-13T00:00:00"/>
    <d v="2024-12-02T00:00:00"/>
    <s v="Service delay"/>
    <x v="2"/>
    <x v="4"/>
    <s v="No"/>
    <s v="No"/>
    <s v="Y"/>
    <s v="Yes"/>
    <s v="Customer unhappy with delay"/>
    <s v="No"/>
    <n v="19"/>
    <x v="4"/>
    <x v="4"/>
  </r>
  <r>
    <s v="CMP-1191"/>
    <d v="2024-11-11T00:00:00"/>
    <d v="2024-11-18T00:00:00"/>
    <s v="communication delay"/>
    <x v="5"/>
    <x v="4"/>
    <s v="yes "/>
    <s v="Yes"/>
    <s v="No"/>
    <s v="No"/>
    <m/>
    <s v="No"/>
    <n v="7"/>
    <x v="4"/>
    <x v="4"/>
  </r>
  <r>
    <s v="CMP-1091"/>
    <d v="2025-02-20T00:00:00"/>
    <d v="2025-02-27T00:00:00"/>
    <s v="doc error"/>
    <x v="4"/>
    <x v="3"/>
    <m/>
    <s v="No"/>
    <s v="Yes"/>
    <s v="Yes"/>
    <s v="Customer unhappy with delay"/>
    <s v="No"/>
    <n v="7"/>
    <x v="6"/>
    <x v="6"/>
  </r>
  <r>
    <s v="CMP-1200"/>
    <d v="2025-03-08T00:00:00"/>
    <d v="2025-03-09T00:00:00"/>
    <s v="Service delay"/>
    <x v="2"/>
    <x v="2"/>
    <s v="No"/>
    <s v="No"/>
    <s v="N"/>
    <s v="No"/>
    <s v="Customer unhappy with delay"/>
    <s v="No"/>
    <n v="1"/>
    <x v="0"/>
    <x v="0"/>
  </r>
  <r>
    <s v="CMP-1001"/>
    <d v="2025-04-15T00:00:00"/>
    <d v="2025-04-20T00:00:00"/>
    <s v="doc error"/>
    <x v="4"/>
    <x v="1"/>
    <s v="Yes"/>
    <s v="Yes"/>
    <s v="Yes"/>
    <s v="Yes"/>
    <s v="Issue not resolved"/>
    <s v="No"/>
    <n v="5"/>
    <x v="1"/>
    <x v="1"/>
  </r>
  <r>
    <s v="CMP-1031"/>
    <d v="2024-10-01T00:00:00"/>
    <d v="2024-10-09T00:00:00"/>
    <s v="Service delay"/>
    <x v="2"/>
    <x v="1"/>
    <s v="yes "/>
    <s v="Yes"/>
    <s v="Yes"/>
    <s v="Yes"/>
    <s v="Multiple follow-ups required"/>
    <s v="No"/>
    <n v="8"/>
    <x v="3"/>
    <x v="3"/>
  </r>
  <r>
    <s v="CMP-1206"/>
    <d v="2025-03-06T00:00:00"/>
    <d v="2025-03-13T00:00:00"/>
    <s v="Documentation error"/>
    <x v="1"/>
    <x v="3"/>
    <s v="Y"/>
    <s v="Yes"/>
    <m/>
    <s v="No"/>
    <s v="Multiple follow-ups required"/>
    <s v="No"/>
    <n v="7"/>
    <x v="0"/>
    <x v="0"/>
  </r>
  <r>
    <s v="CMP-1248"/>
    <d v="2024-12-07T00:00:00"/>
    <d v="2024-12-18T00:00:00"/>
    <s v="Documentation error"/>
    <x v="1"/>
    <x v="2"/>
    <m/>
    <s v="No"/>
    <m/>
    <s v="No"/>
    <s v="Multiple follow-ups required"/>
    <s v="No"/>
    <n v="11"/>
    <x v="2"/>
    <x v="2"/>
  </r>
  <r>
    <s v="CMP-1222"/>
    <d v="2025-03-19T00:00:00"/>
    <d v="2025-03-31T00:00:00"/>
    <s v="communication delay"/>
    <x v="5"/>
    <x v="0"/>
    <s v="no "/>
    <s v="No"/>
    <m/>
    <s v="No"/>
    <s v="Multiple follow-ups required"/>
    <s v="No"/>
    <n v="12"/>
    <x v="0"/>
    <x v="0"/>
  </r>
  <r>
    <s v="CMP-1183"/>
    <d v="2024-11-11T00:00:00"/>
    <d v="2024-11-19T00:00:00"/>
    <s v="Policy update"/>
    <x v="0"/>
    <x v="1"/>
    <s v="Y"/>
    <s v="Yes"/>
    <m/>
    <s v="No"/>
    <s v="Multiple follow-ups required"/>
    <s v="No"/>
    <n v="8"/>
    <x v="4"/>
    <x v="4"/>
  </r>
  <r>
    <s v="CMP-1157"/>
    <d v="2025-02-03T00:00:00"/>
    <d v="2025-02-18T00:00:00"/>
    <s v="communication delay"/>
    <x v="5"/>
    <x v="1"/>
    <s v="Yes"/>
    <s v="Yes"/>
    <s v="N"/>
    <s v="No"/>
    <s v="Issue not resolved"/>
    <s v="No"/>
    <n v="15"/>
    <x v="6"/>
    <x v="6"/>
  </r>
  <r>
    <s v="CMP-1300"/>
    <d v="2024-11-13T00:00:00"/>
    <d v="2024-11-28T00:00:00"/>
    <s v="Service delay"/>
    <x v="2"/>
    <x v="0"/>
    <s v="Yes"/>
    <s v="Yes"/>
    <s v="Y"/>
    <s v="Yes"/>
    <s v="Customer unhappy with delay"/>
    <s v="No"/>
    <n v="15"/>
    <x v="4"/>
    <x v="4"/>
  </r>
  <r>
    <s v="CMP-1220"/>
    <d v="2025-01-03T00:00:00"/>
    <d v="2025-01-09T00:00:00"/>
    <s v="billing Issue"/>
    <x v="3"/>
    <x v="1"/>
    <s v="No"/>
    <s v="No"/>
    <s v="Y"/>
    <s v="Yes"/>
    <m/>
    <s v="No"/>
    <n v="6"/>
    <x v="5"/>
    <x v="5"/>
  </r>
  <r>
    <s v="CMP-1264"/>
    <d v="2025-02-05T00:00:00"/>
    <m/>
    <s v="communication delay"/>
    <x v="5"/>
    <x v="3"/>
    <s v="N"/>
    <s v="No"/>
    <s v="Yes"/>
    <s v="Yes"/>
    <s v="Multiple follow-ups required"/>
    <s v="Yes"/>
    <s v=""/>
    <x v="6"/>
    <x v="6"/>
  </r>
  <r>
    <s v="CMP-1230"/>
    <d v="2024-11-11T00:00:00"/>
    <d v="2024-11-21T00:00:00"/>
    <s v="communication delay"/>
    <x v="5"/>
    <x v="2"/>
    <s v="No"/>
    <s v="No"/>
    <s v="No"/>
    <s v="No"/>
    <m/>
    <s v="No"/>
    <n v="10"/>
    <x v="4"/>
    <x v="4"/>
  </r>
  <r>
    <s v="CMP-1168"/>
    <d v="2025-02-20T00:00:00"/>
    <d v="2025-03-12T00:00:00"/>
    <s v="communication delay"/>
    <x v="5"/>
    <x v="1"/>
    <s v="Yes"/>
    <s v="Yes"/>
    <s v="N"/>
    <s v="No"/>
    <s v="Customer unhappy with delay"/>
    <s v="No"/>
    <n v="20"/>
    <x v="6"/>
    <x v="6"/>
  </r>
  <r>
    <s v="CMP-1085"/>
    <d v="2025-03-03T00:00:00"/>
    <d v="2025-03-18T00:00:00"/>
    <s v="Policy update"/>
    <x v="0"/>
    <x v="3"/>
    <m/>
    <s v="No"/>
    <s v="Y"/>
    <s v="Yes"/>
    <s v="Customer unhappy with delay"/>
    <s v="No"/>
    <n v="15"/>
    <x v="0"/>
    <x v="0"/>
  </r>
  <r>
    <s v="CMP-1274"/>
    <d v="2025-04-09T00:00:00"/>
    <d v="2025-04-24T00:00:00"/>
    <s v="billing Issue"/>
    <x v="3"/>
    <x v="4"/>
    <s v="yes "/>
    <s v="Yes"/>
    <m/>
    <s v="No"/>
    <s v="Multiple follow-ups required"/>
    <s v="No"/>
    <n v="15"/>
    <x v="1"/>
    <x v="1"/>
  </r>
  <r>
    <s v="CMP-1051"/>
    <d v="2025-03-05T00:00:00"/>
    <d v="2025-03-07T00:00:00"/>
    <s v="communication delay"/>
    <x v="5"/>
    <x v="0"/>
    <m/>
    <s v="No"/>
    <m/>
    <s v="No"/>
    <m/>
    <s v="No"/>
    <n v="2"/>
    <x v="0"/>
    <x v="0"/>
  </r>
  <r>
    <s v="CMP-1256"/>
    <d v="2024-10-18T00:00:00"/>
    <d v="2024-10-21T00:00:00"/>
    <s v="Documentation error"/>
    <x v="1"/>
    <x v="3"/>
    <s v="N"/>
    <s v="No"/>
    <s v="No"/>
    <s v="No"/>
    <m/>
    <s v="No"/>
    <n v="3"/>
    <x v="3"/>
    <x v="3"/>
  </r>
  <r>
    <s v="CMP-1027"/>
    <d v="2024-11-06T00:00:00"/>
    <d v="2024-11-15T00:00:00"/>
    <s v="Policy update"/>
    <x v="0"/>
    <x v="1"/>
    <s v="yes "/>
    <s v="Yes"/>
    <s v="Yes"/>
    <s v="Yes"/>
    <m/>
    <s v="No"/>
    <n v="9"/>
    <x v="4"/>
    <x v="4"/>
  </r>
  <r>
    <s v="CMP-1273"/>
    <d v="2025-03-17T00:00:00"/>
    <d v="2025-03-23T00:00:00"/>
    <s v="communication delay"/>
    <x v="5"/>
    <x v="2"/>
    <s v="no "/>
    <s v="No"/>
    <m/>
    <s v="No"/>
    <m/>
    <s v="No"/>
    <n v="6"/>
    <x v="0"/>
    <x v="0"/>
  </r>
  <r>
    <s v="CMP-1085"/>
    <d v="2024-12-24T00:00:00"/>
    <d v="2025-01-03T00:00:00"/>
    <s v="billing Issue"/>
    <x v="3"/>
    <x v="4"/>
    <s v="Yes"/>
    <s v="Yes"/>
    <s v="Y"/>
    <s v="Yes"/>
    <s v="Issue not resolved"/>
    <s v="No"/>
    <n v="10"/>
    <x v="2"/>
    <x v="2"/>
  </r>
  <r>
    <s v="CMP-1022"/>
    <d v="2024-11-12T00:00:00"/>
    <d v="2024-11-16T00:00:00"/>
    <s v="communication delay"/>
    <x v="5"/>
    <x v="0"/>
    <s v="N"/>
    <s v="No"/>
    <s v="Y"/>
    <s v="Yes"/>
    <m/>
    <s v="No"/>
    <n v="4"/>
    <x v="4"/>
    <x v="4"/>
  </r>
  <r>
    <s v="CMP-1034"/>
    <d v="2025-04-15T00:00:00"/>
    <d v="2025-04-26T00:00:00"/>
    <s v="doc error"/>
    <x v="4"/>
    <x v="2"/>
    <s v="N"/>
    <s v="No"/>
    <s v="Y"/>
    <s v="Yes"/>
    <m/>
    <s v="No"/>
    <n v="11"/>
    <x v="1"/>
    <x v="1"/>
  </r>
  <r>
    <s v="CMP-1115"/>
    <d v="2024-10-29T00:00:00"/>
    <d v="2024-11-01T00:00:00"/>
    <s v="Documentation error"/>
    <x v="1"/>
    <x v="2"/>
    <s v="no "/>
    <s v="No"/>
    <s v="Y"/>
    <s v="Yes"/>
    <m/>
    <s v="No"/>
    <n v="3"/>
    <x v="3"/>
    <x v="3"/>
  </r>
  <r>
    <s v="CMP-1212"/>
    <d v="2025-02-04T00:00:00"/>
    <d v="2025-02-17T00:00:00"/>
    <s v="doc error"/>
    <x v="4"/>
    <x v="0"/>
    <s v="No"/>
    <s v="No"/>
    <m/>
    <s v="No"/>
    <s v="Issue not resolved"/>
    <s v="No"/>
    <n v="13"/>
    <x v="6"/>
    <x v="6"/>
  </r>
  <r>
    <s v="CMP-1104"/>
    <d v="2025-04-19T00:00:00"/>
    <d v="2025-04-21T00:00:00"/>
    <s v="Service delay"/>
    <x v="2"/>
    <x v="4"/>
    <s v="No"/>
    <s v="No"/>
    <m/>
    <s v="No"/>
    <s v="Issue not resolved"/>
    <s v="No"/>
    <n v="2"/>
    <x v="1"/>
    <x v="1"/>
  </r>
  <r>
    <s v="CMP-1145"/>
    <d v="2025-03-17T00:00:00"/>
    <d v="2025-03-23T00:00:00"/>
    <s v="Policy Update "/>
    <x v="0"/>
    <x v="0"/>
    <s v="yes "/>
    <s v="Yes"/>
    <s v="N"/>
    <s v="No"/>
    <s v="Issue not resolved"/>
    <s v="No"/>
    <n v="6"/>
    <x v="0"/>
    <x v="0"/>
  </r>
  <r>
    <s v="CMP-1154"/>
    <d v="2024-10-28T00:00:00"/>
    <d v="2024-11-04T00:00:00"/>
    <s v="billing Issue"/>
    <x v="3"/>
    <x v="3"/>
    <s v="Y"/>
    <s v="Yes"/>
    <m/>
    <s v="No"/>
    <m/>
    <s v="No"/>
    <n v="7"/>
    <x v="3"/>
    <x v="3"/>
  </r>
  <r>
    <s v="CMP-1018"/>
    <d v="2025-01-24T00:00:00"/>
    <d v="2025-02-09T00:00:00"/>
    <s v="communication delay"/>
    <x v="5"/>
    <x v="0"/>
    <m/>
    <s v="No"/>
    <s v="Y"/>
    <s v="Yes"/>
    <s v="Issue not resolved"/>
    <s v="No"/>
    <n v="16"/>
    <x v="5"/>
    <x v="5"/>
  </r>
  <r>
    <s v="CMP-1044"/>
    <d v="2025-04-11T00:00:00"/>
    <d v="2025-04-12T00:00:00"/>
    <s v="communication delay"/>
    <x v="5"/>
    <x v="0"/>
    <m/>
    <s v="No"/>
    <m/>
    <s v="No"/>
    <s v="Issue not resolved"/>
    <s v="No"/>
    <n v="1"/>
    <x v="1"/>
    <x v="1"/>
  </r>
  <r>
    <s v="CMP-1010"/>
    <d v="2025-01-31T00:00:00"/>
    <d v="2025-02-06T00:00:00"/>
    <s v="Documentation error"/>
    <x v="1"/>
    <x v="3"/>
    <s v="N"/>
    <s v="No"/>
    <s v="Yes"/>
    <s v="Yes"/>
    <m/>
    <s v="No"/>
    <n v="6"/>
    <x v="5"/>
    <x v="5"/>
  </r>
  <r>
    <s v="CMP-1083"/>
    <d v="2025-02-01T00:00:00"/>
    <d v="2025-02-08T00:00:00"/>
    <s v="Service delay"/>
    <x v="2"/>
    <x v="2"/>
    <s v="No"/>
    <s v="No"/>
    <m/>
    <s v="No"/>
    <m/>
    <s v="No"/>
    <n v="7"/>
    <x v="6"/>
    <x v="6"/>
  </r>
  <r>
    <s v="CMP-1237"/>
    <d v="2024-10-20T00:00:00"/>
    <d v="2024-11-09T00:00:00"/>
    <s v="doc error"/>
    <x v="4"/>
    <x v="0"/>
    <s v="yes "/>
    <s v="Yes"/>
    <s v="Y"/>
    <s v="Yes"/>
    <m/>
    <s v="No"/>
    <n v="20"/>
    <x v="3"/>
    <x v="3"/>
  </r>
  <r>
    <s v="CMP-1081"/>
    <d v="2025-02-17T00:00:00"/>
    <d v="2025-02-24T00:00:00"/>
    <s v="billing Issue"/>
    <x v="3"/>
    <x v="2"/>
    <m/>
    <s v="No"/>
    <m/>
    <s v="No"/>
    <m/>
    <s v="No"/>
    <n v="7"/>
    <x v="6"/>
    <x v="6"/>
  </r>
  <r>
    <s v="CMP-1185"/>
    <d v="2024-10-23T00:00:00"/>
    <d v="2024-11-10T00:00:00"/>
    <s v="communication delay"/>
    <x v="5"/>
    <x v="0"/>
    <s v="No"/>
    <s v="No"/>
    <m/>
    <s v="No"/>
    <s v="Issue not resolved"/>
    <s v="No"/>
    <n v="18"/>
    <x v="3"/>
    <x v="3"/>
  </r>
  <r>
    <s v="CMP-1157"/>
    <d v="2024-11-03T00:00:00"/>
    <m/>
    <s v="Documentation error"/>
    <x v="1"/>
    <x v="3"/>
    <s v="N"/>
    <s v="No"/>
    <m/>
    <s v="No"/>
    <s v="Issue not resolved"/>
    <s v="Yes"/>
    <s v=""/>
    <x v="4"/>
    <x v="4"/>
  </r>
  <r>
    <s v="CMP-1070"/>
    <d v="2025-01-10T00:00:00"/>
    <d v="2025-01-15T00:00:00"/>
    <s v="Policy Update "/>
    <x v="0"/>
    <x v="0"/>
    <s v="Yes"/>
    <s v="Yes"/>
    <s v="Yes"/>
    <s v="Yes"/>
    <m/>
    <s v="No"/>
    <n v="5"/>
    <x v="5"/>
    <x v="5"/>
  </r>
  <r>
    <s v="CMP-1055"/>
    <d v="2025-03-02T00:00:00"/>
    <d v="2025-03-19T00:00:00"/>
    <s v="billing Issue"/>
    <x v="3"/>
    <x v="4"/>
    <m/>
    <s v="No"/>
    <m/>
    <s v="No"/>
    <s v="Customer unhappy with delay"/>
    <s v="No"/>
    <n v="17"/>
    <x v="0"/>
    <x v="0"/>
  </r>
  <r>
    <s v="CMP-1279"/>
    <d v="2025-02-03T00:00:00"/>
    <d v="2025-02-06T00:00:00"/>
    <s v="communication delay"/>
    <x v="5"/>
    <x v="0"/>
    <s v="yes "/>
    <s v="Yes"/>
    <m/>
    <s v="No"/>
    <s v="Issue not resolved"/>
    <s v="No"/>
    <n v="3"/>
    <x v="6"/>
    <x v="6"/>
  </r>
  <r>
    <s v="CMP-1140"/>
    <d v="2025-01-09T00:00:00"/>
    <d v="2025-01-19T00:00:00"/>
    <s v="Documentation error"/>
    <x v="1"/>
    <x v="3"/>
    <m/>
    <s v="No"/>
    <s v="Y"/>
    <s v="Yes"/>
    <m/>
    <s v="No"/>
    <n v="10"/>
    <x v="5"/>
    <x v="5"/>
  </r>
  <r>
    <s v="CMP-1141"/>
    <d v="2024-12-01T00:00:00"/>
    <d v="2024-12-18T00:00:00"/>
    <s v="doc error"/>
    <x v="4"/>
    <x v="3"/>
    <s v="no "/>
    <s v="No"/>
    <s v="N"/>
    <s v="No"/>
    <m/>
    <s v="No"/>
    <n v="17"/>
    <x v="2"/>
    <x v="2"/>
  </r>
  <r>
    <s v="CMP-1241"/>
    <d v="2025-01-06T00:00:00"/>
    <d v="2025-01-17T00:00:00"/>
    <s v="billing Issue"/>
    <x v="3"/>
    <x v="2"/>
    <m/>
    <s v="No"/>
    <s v="N"/>
    <s v="No"/>
    <s v="Issue not resolved"/>
    <s v="No"/>
    <n v="11"/>
    <x v="5"/>
    <x v="5"/>
  </r>
  <r>
    <s v="CMP-1025"/>
    <d v="2025-01-02T00:00:00"/>
    <d v="2025-01-14T00:00:00"/>
    <s v="billing Issue"/>
    <x v="3"/>
    <x v="3"/>
    <s v="no "/>
    <s v="No"/>
    <s v="Yes"/>
    <s v="Yes"/>
    <s v="Customer unhappy with delay"/>
    <s v="No"/>
    <n v="12"/>
    <x v="5"/>
    <x v="5"/>
  </r>
  <r>
    <s v="CMP-1139"/>
    <d v="2024-10-25T00:00:00"/>
    <d v="2024-11-11T00:00:00"/>
    <s v="communication delay"/>
    <x v="5"/>
    <x v="3"/>
    <s v="N"/>
    <s v="No"/>
    <s v="No"/>
    <s v="No"/>
    <m/>
    <s v="No"/>
    <n v="17"/>
    <x v="3"/>
    <x v="3"/>
  </r>
  <r>
    <s v="CMP-1142"/>
    <d v="2025-01-05T00:00:00"/>
    <m/>
    <s v="Documentation error"/>
    <x v="1"/>
    <x v="2"/>
    <s v="Y"/>
    <s v="Yes"/>
    <s v="Y"/>
    <s v="Yes"/>
    <s v="Customer unhappy with delay"/>
    <s v="Yes"/>
    <s v=""/>
    <x v="5"/>
    <x v="5"/>
  </r>
  <r>
    <s v="CMP-1158"/>
    <d v="2024-11-28T00:00:00"/>
    <m/>
    <s v="Documentation error"/>
    <x v="1"/>
    <x v="3"/>
    <s v="yes "/>
    <s v="Yes"/>
    <s v="N"/>
    <s v="No"/>
    <s v="Issue not resolved"/>
    <s v="Yes"/>
    <s v=""/>
    <x v="4"/>
    <x v="4"/>
  </r>
  <r>
    <s v="CMP-1231"/>
    <d v="2024-12-16T00:00:00"/>
    <d v="2024-12-18T00:00:00"/>
    <s v="billing Issue"/>
    <x v="3"/>
    <x v="1"/>
    <s v="Y"/>
    <s v="Yes"/>
    <m/>
    <s v="No"/>
    <s v="Multiple follow-ups required"/>
    <s v="No"/>
    <n v="2"/>
    <x v="2"/>
    <x v="2"/>
  </r>
  <r>
    <s v="CMP-1010"/>
    <d v="2025-03-20T00:00:00"/>
    <d v="2025-03-30T00:00:00"/>
    <s v="communication delay"/>
    <x v="5"/>
    <x v="0"/>
    <s v="no "/>
    <s v="No"/>
    <s v="Y"/>
    <s v="Yes"/>
    <s v="Multiple follow-ups required"/>
    <s v="No"/>
    <n v="10"/>
    <x v="0"/>
    <x v="0"/>
  </r>
  <r>
    <s v="CMP-1292"/>
    <d v="2025-03-16T00:00:00"/>
    <d v="2025-03-30T00:00:00"/>
    <s v="Policy update"/>
    <x v="0"/>
    <x v="3"/>
    <s v="No"/>
    <s v="No"/>
    <s v="Yes"/>
    <s v="Yes"/>
    <m/>
    <s v="No"/>
    <n v="14"/>
    <x v="0"/>
    <x v="0"/>
  </r>
  <r>
    <s v="CMP-1066"/>
    <d v="2025-01-17T00:00:00"/>
    <d v="2025-01-27T00:00:00"/>
    <s v="communication delay"/>
    <x v="5"/>
    <x v="4"/>
    <s v="No"/>
    <s v="No"/>
    <s v="No"/>
    <s v="No"/>
    <s v="Multiple follow-ups required"/>
    <s v="No"/>
    <n v="10"/>
    <x v="5"/>
    <x v="5"/>
  </r>
  <r>
    <s v="CMP-1282"/>
    <d v="2024-12-20T00:00:00"/>
    <d v="2024-12-21T00:00:00"/>
    <s v="billing Issue"/>
    <x v="3"/>
    <x v="3"/>
    <s v="no "/>
    <s v="No"/>
    <s v="N"/>
    <s v="No"/>
    <s v="Issue not resolved"/>
    <s v="No"/>
    <n v="1"/>
    <x v="2"/>
    <x v="2"/>
  </r>
  <r>
    <s v="CMP-1026"/>
    <d v="2024-11-30T00:00:00"/>
    <d v="2024-12-01T00:00:00"/>
    <s v="billing Issue"/>
    <x v="3"/>
    <x v="3"/>
    <m/>
    <s v="No"/>
    <s v="N"/>
    <s v="No"/>
    <s v="Customer unhappy with delay"/>
    <s v="No"/>
    <n v="1"/>
    <x v="4"/>
    <x v="4"/>
  </r>
  <r>
    <s v="CMP-1300"/>
    <d v="2024-12-12T00:00:00"/>
    <m/>
    <s v="Policy update"/>
    <x v="0"/>
    <x v="0"/>
    <s v="Y"/>
    <s v="Yes"/>
    <s v="Y"/>
    <s v="Yes"/>
    <s v="Issue not resolved"/>
    <s v="Yes"/>
    <s v=""/>
    <x v="2"/>
    <x v="2"/>
  </r>
  <r>
    <s v="CMP-1282"/>
    <d v="2025-02-18T00:00:00"/>
    <m/>
    <s v="communication delay"/>
    <x v="5"/>
    <x v="0"/>
    <s v="no "/>
    <s v="No"/>
    <s v="N"/>
    <s v="No"/>
    <s v="Multiple follow-ups required"/>
    <s v="Yes"/>
    <s v=""/>
    <x v="6"/>
    <x v="6"/>
  </r>
  <r>
    <s v="CMP-1060"/>
    <d v="2025-02-12T00:00:00"/>
    <m/>
    <s v="Documentation error"/>
    <x v="1"/>
    <x v="4"/>
    <s v="yes "/>
    <s v="Yes"/>
    <m/>
    <s v="No"/>
    <s v="Issue not resolved"/>
    <s v="Yes"/>
    <s v=""/>
    <x v="6"/>
    <x v="6"/>
  </r>
  <r>
    <s v="CMP-1016"/>
    <d v="2024-11-21T00:00:00"/>
    <d v="2024-12-09T00:00:00"/>
    <s v="doc error"/>
    <x v="4"/>
    <x v="0"/>
    <s v="yes "/>
    <s v="Yes"/>
    <s v="Yes"/>
    <s v="Yes"/>
    <s v="Customer unhappy with delay"/>
    <s v="No"/>
    <n v="18"/>
    <x v="4"/>
    <x v="4"/>
  </r>
  <r>
    <s v="CMP-1210"/>
    <d v="2025-02-21T00:00:00"/>
    <d v="2025-03-04T00:00:00"/>
    <s v="communication delay"/>
    <x v="5"/>
    <x v="0"/>
    <m/>
    <s v="No"/>
    <m/>
    <s v="No"/>
    <s v="Customer unhappy with delay"/>
    <s v="No"/>
    <n v="11"/>
    <x v="6"/>
    <x v="6"/>
  </r>
  <r>
    <s v="CMP-1147"/>
    <d v="2025-03-30T00:00:00"/>
    <d v="2025-04-02T00:00:00"/>
    <s v="communication delay"/>
    <x v="5"/>
    <x v="0"/>
    <s v="Y"/>
    <s v="Yes"/>
    <s v="Yes"/>
    <s v="Yes"/>
    <s v="Multiple follow-ups required"/>
    <s v="No"/>
    <n v="3"/>
    <x v="0"/>
    <x v="0"/>
  </r>
  <r>
    <s v="CMP-1282"/>
    <d v="2024-12-04T00:00:00"/>
    <d v="2024-12-23T00:00:00"/>
    <s v="billing Issue"/>
    <x v="3"/>
    <x v="0"/>
    <s v="yes "/>
    <s v="Yes"/>
    <s v="No"/>
    <s v="No"/>
    <m/>
    <s v="No"/>
    <n v="19"/>
    <x v="2"/>
    <x v="2"/>
  </r>
  <r>
    <s v="CMP-1050"/>
    <d v="2025-02-15T00:00:00"/>
    <d v="2025-03-06T00:00:00"/>
    <s v="Policy Update "/>
    <x v="0"/>
    <x v="0"/>
    <s v="Y"/>
    <s v="Yes"/>
    <m/>
    <s v="No"/>
    <s v="Issue not resolved"/>
    <s v="No"/>
    <n v="19"/>
    <x v="6"/>
    <x v="6"/>
  </r>
  <r>
    <s v="CMP-1250"/>
    <d v="2025-03-30T00:00:00"/>
    <d v="2025-04-03T00:00:00"/>
    <s v="Policy Update "/>
    <x v="0"/>
    <x v="0"/>
    <s v="no "/>
    <s v="No"/>
    <m/>
    <s v="No"/>
    <s v="Issue not resolved"/>
    <s v="No"/>
    <n v="4"/>
    <x v="0"/>
    <x v="0"/>
  </r>
  <r>
    <s v="CMP-1132"/>
    <d v="2024-11-29T00:00:00"/>
    <d v="2024-12-08T00:00:00"/>
    <s v="communication delay"/>
    <x v="5"/>
    <x v="3"/>
    <s v="Yes"/>
    <s v="Yes"/>
    <s v="Yes"/>
    <s v="Yes"/>
    <m/>
    <s v="No"/>
    <n v="9"/>
    <x v="4"/>
    <x v="4"/>
  </r>
  <r>
    <s v="CMP-1029"/>
    <d v="2025-02-15T00:00:00"/>
    <d v="2025-03-04T00:00:00"/>
    <s v="Policy update"/>
    <x v="0"/>
    <x v="3"/>
    <s v="No"/>
    <s v="No"/>
    <s v="No"/>
    <s v="No"/>
    <s v="Issue not resolved"/>
    <s v="No"/>
    <n v="17"/>
    <x v="6"/>
    <x v="6"/>
  </r>
  <r>
    <s v="CMP-1223"/>
    <d v="2025-03-30T00:00:00"/>
    <d v="2025-04-17T00:00:00"/>
    <s v="doc error"/>
    <x v="4"/>
    <x v="3"/>
    <m/>
    <s v="No"/>
    <s v="Y"/>
    <s v="Yes"/>
    <s v="Customer unhappy with delay"/>
    <s v="No"/>
    <n v="18"/>
    <x v="0"/>
    <x v="0"/>
  </r>
  <r>
    <s v="CMP-1200"/>
    <d v="2025-04-13T00:00:00"/>
    <d v="2025-04-19T00:00:00"/>
    <s v="doc error"/>
    <x v="4"/>
    <x v="1"/>
    <m/>
    <s v="No"/>
    <s v="Yes"/>
    <s v="Yes"/>
    <s v="Issue not resolved"/>
    <s v="No"/>
    <n v="6"/>
    <x v="1"/>
    <x v="1"/>
  </r>
  <r>
    <s v="CMP-1165"/>
    <d v="2024-12-01T00:00:00"/>
    <d v="2024-12-10T00:00:00"/>
    <s v="doc error"/>
    <x v="4"/>
    <x v="0"/>
    <s v="yes "/>
    <s v="Yes"/>
    <s v="N"/>
    <s v="No"/>
    <s v="Multiple follow-ups required"/>
    <s v="No"/>
    <n v="9"/>
    <x v="2"/>
    <x v="2"/>
  </r>
  <r>
    <s v="CMP-1144"/>
    <d v="2024-11-12T00:00:00"/>
    <d v="2024-11-25T00:00:00"/>
    <s v="Policy Update "/>
    <x v="0"/>
    <x v="2"/>
    <s v="N"/>
    <s v="No"/>
    <s v="N"/>
    <s v="No"/>
    <m/>
    <s v="No"/>
    <n v="13"/>
    <x v="4"/>
    <x v="4"/>
  </r>
  <r>
    <s v="CMP-1135"/>
    <d v="2025-01-05T00:00:00"/>
    <d v="2025-01-13T00:00:00"/>
    <s v="Policy Update "/>
    <x v="0"/>
    <x v="2"/>
    <s v="No"/>
    <s v="No"/>
    <m/>
    <s v="No"/>
    <s v="Multiple follow-ups required"/>
    <s v="No"/>
    <n v="8"/>
    <x v="5"/>
    <x v="5"/>
  </r>
  <r>
    <s v="CMP-1239"/>
    <d v="2024-10-31T00:00:00"/>
    <d v="2024-11-09T00:00:00"/>
    <s v="Documentation error"/>
    <x v="1"/>
    <x v="3"/>
    <s v="No"/>
    <s v="No"/>
    <s v="Yes"/>
    <s v="Yes"/>
    <s v="Multiple follow-ups required"/>
    <s v="No"/>
    <n v="9"/>
    <x v="3"/>
    <x v="3"/>
  </r>
  <r>
    <s v="CMP-1066"/>
    <d v="2025-02-28T00:00:00"/>
    <d v="2025-03-16T00:00:00"/>
    <s v="communication delay"/>
    <x v="5"/>
    <x v="2"/>
    <s v="N"/>
    <s v="No"/>
    <s v="Y"/>
    <s v="Yes"/>
    <s v="Customer unhappy with delay"/>
    <s v="No"/>
    <n v="16"/>
    <x v="6"/>
    <x v="6"/>
  </r>
  <r>
    <s v="CMP-1200"/>
    <d v="2025-01-01T00:00:00"/>
    <d v="2025-01-05T00:00:00"/>
    <s v="Service delay"/>
    <x v="2"/>
    <x v="0"/>
    <s v="Yes"/>
    <s v="Yes"/>
    <s v="No"/>
    <s v="No"/>
    <m/>
    <s v="No"/>
    <n v="4"/>
    <x v="5"/>
    <x v="5"/>
  </r>
  <r>
    <s v="CMP-1050"/>
    <d v="2025-02-18T00:00:00"/>
    <d v="2025-02-21T00:00:00"/>
    <s v="Service delay"/>
    <x v="2"/>
    <x v="3"/>
    <s v="no "/>
    <s v="No"/>
    <s v="Y"/>
    <s v="Yes"/>
    <s v="Issue not resolved"/>
    <s v="No"/>
    <n v="3"/>
    <x v="6"/>
    <x v="6"/>
  </r>
  <r>
    <s v="CMP-1237"/>
    <d v="2024-12-27T00:00:00"/>
    <d v="2025-01-03T00:00:00"/>
    <s v="communication delay"/>
    <x v="5"/>
    <x v="2"/>
    <s v="no "/>
    <s v="No"/>
    <s v="N"/>
    <s v="No"/>
    <s v="Issue not resolved"/>
    <s v="No"/>
    <n v="7"/>
    <x v="2"/>
    <x v="2"/>
  </r>
  <r>
    <s v="CMP-1186"/>
    <d v="2025-04-05T00:00:00"/>
    <d v="2025-04-07T00:00:00"/>
    <s v="Policy update"/>
    <x v="0"/>
    <x v="3"/>
    <s v="No"/>
    <s v="No"/>
    <m/>
    <s v="No"/>
    <m/>
    <s v="No"/>
    <n v="2"/>
    <x v="1"/>
    <x v="1"/>
  </r>
  <r>
    <s v="CMP-1178"/>
    <d v="2025-02-06T00:00:00"/>
    <d v="2025-02-20T00:00:00"/>
    <s v="Service delay"/>
    <x v="2"/>
    <x v="2"/>
    <s v="No"/>
    <s v="No"/>
    <m/>
    <s v="No"/>
    <m/>
    <s v="No"/>
    <n v="14"/>
    <x v="6"/>
    <x v="6"/>
  </r>
  <r>
    <s v="CMP-1278"/>
    <d v="2024-10-12T00:00:00"/>
    <d v="2024-10-22T00:00:00"/>
    <s v="doc error"/>
    <x v="4"/>
    <x v="0"/>
    <s v="No"/>
    <s v="No"/>
    <s v="Yes"/>
    <s v="Yes"/>
    <s v="Multiple follow-ups required"/>
    <s v="No"/>
    <n v="10"/>
    <x v="3"/>
    <x v="3"/>
  </r>
  <r>
    <s v="CMP-1072"/>
    <d v="2024-12-28T00:00:00"/>
    <d v="2024-12-31T00:00:00"/>
    <s v="billing Issue"/>
    <x v="3"/>
    <x v="3"/>
    <s v="Yes"/>
    <s v="Yes"/>
    <s v="N"/>
    <s v="No"/>
    <s v="Customer unhappy with delay"/>
    <s v="No"/>
    <n v="3"/>
    <x v="2"/>
    <x v="2"/>
  </r>
  <r>
    <s v="CMP-1079"/>
    <d v="2025-02-03T00:00:00"/>
    <m/>
    <s v="billing Issue"/>
    <x v="3"/>
    <x v="4"/>
    <s v="Yes"/>
    <s v="Yes"/>
    <s v="No"/>
    <s v="No"/>
    <m/>
    <s v="Yes"/>
    <s v=""/>
    <x v="6"/>
    <x v="6"/>
  </r>
  <r>
    <s v="CMP-1296"/>
    <d v="2025-01-22T00:00:00"/>
    <d v="2025-02-11T00:00:00"/>
    <s v="billing Issue"/>
    <x v="3"/>
    <x v="0"/>
    <s v="No"/>
    <s v="No"/>
    <s v="Yes"/>
    <s v="Yes"/>
    <s v="Multiple follow-ups required"/>
    <s v="No"/>
    <n v="20"/>
    <x v="5"/>
    <x v="5"/>
  </r>
  <r>
    <s v="CMP-1191"/>
    <d v="2025-01-25T00:00:00"/>
    <d v="2025-02-12T00:00:00"/>
    <s v="Policy update"/>
    <x v="0"/>
    <x v="3"/>
    <s v="No"/>
    <s v="No"/>
    <m/>
    <s v="No"/>
    <s v="Multiple follow-ups required"/>
    <s v="No"/>
    <n v="18"/>
    <x v="5"/>
    <x v="5"/>
  </r>
  <r>
    <s v="CMP-1165"/>
    <d v="2024-10-26T00:00:00"/>
    <d v="2024-10-30T00:00:00"/>
    <s v="Policy update"/>
    <x v="0"/>
    <x v="1"/>
    <s v="N"/>
    <s v="No"/>
    <s v="No"/>
    <s v="No"/>
    <m/>
    <s v="No"/>
    <n v="4"/>
    <x v="3"/>
    <x v="3"/>
  </r>
  <r>
    <s v="CMP-1183"/>
    <d v="2024-11-25T00:00:00"/>
    <d v="2024-12-01T00:00:00"/>
    <s v="billing Issue"/>
    <x v="3"/>
    <x v="1"/>
    <s v="Yes"/>
    <s v="Yes"/>
    <m/>
    <s v="No"/>
    <s v="Issue not resolved"/>
    <s v="No"/>
    <n v="6"/>
    <x v="4"/>
    <x v="4"/>
  </r>
  <r>
    <s v="CMP-1167"/>
    <d v="2025-02-18T00:00:00"/>
    <m/>
    <s v="Service delay"/>
    <x v="2"/>
    <x v="0"/>
    <s v="yes "/>
    <s v="Yes"/>
    <s v="No"/>
    <s v="No"/>
    <s v="Multiple follow-ups required"/>
    <s v="Yes"/>
    <s v=""/>
    <x v="6"/>
    <x v="6"/>
  </r>
  <r>
    <s v="CMP-1253"/>
    <d v="2025-04-17T00:00:00"/>
    <d v="2025-04-28T00:00:00"/>
    <s v="communication delay"/>
    <x v="5"/>
    <x v="0"/>
    <s v="Y"/>
    <s v="Yes"/>
    <m/>
    <s v="No"/>
    <m/>
    <s v="No"/>
    <n v="11"/>
    <x v="1"/>
    <x v="1"/>
  </r>
  <r>
    <s v="CMP-1077"/>
    <d v="2024-12-11T00:00:00"/>
    <d v="2024-12-16T00:00:00"/>
    <s v="Service delay"/>
    <x v="2"/>
    <x v="2"/>
    <s v="No"/>
    <s v="No"/>
    <s v="Y"/>
    <s v="Yes"/>
    <m/>
    <s v="No"/>
    <n v="5"/>
    <x v="2"/>
    <x v="2"/>
  </r>
  <r>
    <s v="CMP-1205"/>
    <d v="2025-04-06T00:00:00"/>
    <m/>
    <s v="communication delay"/>
    <x v="5"/>
    <x v="0"/>
    <s v="N"/>
    <s v="No"/>
    <s v="Y"/>
    <s v="Yes"/>
    <s v="Issue not resolved"/>
    <s v="Yes"/>
    <s v=""/>
    <x v="1"/>
    <x v="1"/>
  </r>
  <r>
    <s v="CMP-1111"/>
    <d v="2025-01-29T00:00:00"/>
    <d v="2025-02-02T00:00:00"/>
    <s v="Service delay"/>
    <x v="2"/>
    <x v="4"/>
    <s v="yes "/>
    <s v="Yes"/>
    <m/>
    <s v="No"/>
    <m/>
    <s v="No"/>
    <n v="4"/>
    <x v="5"/>
    <x v="5"/>
  </r>
  <r>
    <s v="CMP-1268"/>
    <d v="2025-03-03T00:00:00"/>
    <d v="2025-03-07T00:00:00"/>
    <s v="Policy Update "/>
    <x v="0"/>
    <x v="3"/>
    <s v="Y"/>
    <s v="Yes"/>
    <s v="No"/>
    <s v="No"/>
    <s v="Issue not resolved"/>
    <s v="No"/>
    <n v="4"/>
    <x v="0"/>
    <x v="0"/>
  </r>
  <r>
    <s v="CMP-1115"/>
    <d v="2024-10-01T00:00:00"/>
    <d v="2024-10-08T00:00:00"/>
    <s v="communication delay"/>
    <x v="5"/>
    <x v="0"/>
    <s v="N"/>
    <s v="No"/>
    <m/>
    <s v="No"/>
    <s v="Multiple follow-ups required"/>
    <s v="No"/>
    <n v="7"/>
    <x v="3"/>
    <x v="3"/>
  </r>
  <r>
    <s v="CMP-1180"/>
    <d v="2024-12-16T00:00:00"/>
    <d v="2024-12-24T00:00:00"/>
    <s v="Policy update"/>
    <x v="0"/>
    <x v="4"/>
    <s v="yes "/>
    <s v="Yes"/>
    <m/>
    <s v="No"/>
    <m/>
    <s v="No"/>
    <n v="8"/>
    <x v="2"/>
    <x v="2"/>
  </r>
  <r>
    <s v="CMP-1177"/>
    <d v="2025-01-06T00:00:00"/>
    <d v="2025-01-12T00:00:00"/>
    <s v="billing Issue"/>
    <x v="3"/>
    <x v="0"/>
    <m/>
    <s v="No"/>
    <m/>
    <s v="No"/>
    <s v="Issue not resolved"/>
    <s v="No"/>
    <n v="6"/>
    <x v="5"/>
    <x v="5"/>
  </r>
  <r>
    <s v="CMP-1094"/>
    <d v="2024-11-05T00:00:00"/>
    <d v="2024-11-07T00:00:00"/>
    <s v="doc error"/>
    <x v="4"/>
    <x v="2"/>
    <s v="Yes"/>
    <s v="Yes"/>
    <s v="No"/>
    <s v="No"/>
    <s v="Multiple follow-ups required"/>
    <s v="No"/>
    <n v="2"/>
    <x v="4"/>
    <x v="4"/>
  </r>
  <r>
    <s v="CMP-1035"/>
    <d v="2024-12-25T00:00:00"/>
    <m/>
    <s v="Service delay"/>
    <x v="2"/>
    <x v="0"/>
    <m/>
    <s v="No"/>
    <s v="Y"/>
    <s v="Yes"/>
    <s v="Issue not resolved"/>
    <s v="Yes"/>
    <s v=""/>
    <x v="2"/>
    <x v="2"/>
  </r>
  <r>
    <s v="CMP-1063"/>
    <d v="2025-04-04T00:00:00"/>
    <d v="2025-04-22T00:00:00"/>
    <s v="Documentation error"/>
    <x v="1"/>
    <x v="0"/>
    <m/>
    <s v="No"/>
    <m/>
    <s v="No"/>
    <s v="Issue not resolved"/>
    <s v="No"/>
    <n v="18"/>
    <x v="1"/>
    <x v="1"/>
  </r>
  <r>
    <s v="CMP-1047"/>
    <d v="2025-01-31T00:00:00"/>
    <d v="2025-02-12T00:00:00"/>
    <s v="doc error"/>
    <x v="4"/>
    <x v="0"/>
    <s v="no "/>
    <s v="No"/>
    <m/>
    <s v="No"/>
    <m/>
    <s v="No"/>
    <n v="12"/>
    <x v="5"/>
    <x v="5"/>
  </r>
  <r>
    <s v="CMP-1294"/>
    <d v="2025-01-19T00:00:00"/>
    <d v="2025-02-02T00:00:00"/>
    <s v="doc error"/>
    <x v="4"/>
    <x v="3"/>
    <s v="no "/>
    <s v="No"/>
    <s v="Y"/>
    <s v="Yes"/>
    <m/>
    <s v="No"/>
    <n v="14"/>
    <x v="5"/>
    <x v="5"/>
  </r>
  <r>
    <s v="CMP-1052"/>
    <d v="2024-12-27T00:00:00"/>
    <d v="2025-01-02T00:00:00"/>
    <s v="doc error"/>
    <x v="4"/>
    <x v="3"/>
    <s v="yes "/>
    <s v="Yes"/>
    <s v="Y"/>
    <s v="Yes"/>
    <s v="Multiple follow-ups required"/>
    <s v="No"/>
    <n v="6"/>
    <x v="2"/>
    <x v="2"/>
  </r>
  <r>
    <s v="CMP-1209"/>
    <d v="2025-04-18T00:00:00"/>
    <d v="2025-04-21T00:00:00"/>
    <s v="Service delay"/>
    <x v="2"/>
    <x v="4"/>
    <s v="Y"/>
    <s v="Yes"/>
    <s v="Y"/>
    <s v="Yes"/>
    <m/>
    <s v="No"/>
    <n v="3"/>
    <x v="1"/>
    <x v="1"/>
  </r>
  <r>
    <s v="CMP-1084"/>
    <d v="2024-11-26T00:00:00"/>
    <d v="2024-12-15T00:00:00"/>
    <s v="Policy update"/>
    <x v="0"/>
    <x v="0"/>
    <m/>
    <s v="No"/>
    <s v="No"/>
    <s v="No"/>
    <s v="Customer unhappy with delay"/>
    <s v="No"/>
    <n v="19"/>
    <x v="4"/>
    <x v="4"/>
  </r>
  <r>
    <s v="CMP-1111"/>
    <d v="2025-01-01T00:00:00"/>
    <d v="2025-01-20T00:00:00"/>
    <s v="Policy update"/>
    <x v="0"/>
    <x v="0"/>
    <m/>
    <s v="No"/>
    <s v="Yes"/>
    <s v="Yes"/>
    <s v="Issue not resolved"/>
    <s v="No"/>
    <n v="19"/>
    <x v="5"/>
    <x v="5"/>
  </r>
  <r>
    <s v="CMP-1087"/>
    <d v="2025-03-02T00:00:00"/>
    <d v="2025-03-18T00:00:00"/>
    <s v="Documentation error"/>
    <x v="1"/>
    <x v="4"/>
    <s v="no "/>
    <s v="No"/>
    <s v="N"/>
    <s v="No"/>
    <s v="Customer unhappy with delay"/>
    <s v="No"/>
    <n v="16"/>
    <x v="0"/>
    <x v="0"/>
  </r>
  <r>
    <s v="CMP-1046"/>
    <d v="2025-02-19T00:00:00"/>
    <d v="2025-02-21T00:00:00"/>
    <s v="doc error"/>
    <x v="4"/>
    <x v="0"/>
    <s v="No"/>
    <s v="No"/>
    <s v="Y"/>
    <s v="Yes"/>
    <s v="Issue not resolved"/>
    <s v="No"/>
    <n v="2"/>
    <x v="6"/>
    <x v="6"/>
  </r>
  <r>
    <s v="CMP-1265"/>
    <d v="2025-04-12T00:00:00"/>
    <d v="2025-04-19T00:00:00"/>
    <s v="Policy update"/>
    <x v="0"/>
    <x v="2"/>
    <m/>
    <s v="No"/>
    <s v="N"/>
    <s v="No"/>
    <s v="Issue not resolved"/>
    <s v="No"/>
    <n v="7"/>
    <x v="1"/>
    <x v="1"/>
  </r>
  <r>
    <s v="CMP-1033"/>
    <d v="2024-10-01T00:00:00"/>
    <d v="2024-10-04T00:00:00"/>
    <s v="doc error"/>
    <x v="4"/>
    <x v="4"/>
    <s v="Yes"/>
    <s v="Yes"/>
    <s v="N"/>
    <s v="No"/>
    <m/>
    <s v="No"/>
    <n v="3"/>
    <x v="3"/>
    <x v="3"/>
  </r>
  <r>
    <s v="CMP-1276"/>
    <d v="2025-01-20T00:00:00"/>
    <d v="2025-02-02T00:00:00"/>
    <s v="billing Issue"/>
    <x v="3"/>
    <x v="4"/>
    <s v="Y"/>
    <s v="Yes"/>
    <s v="No"/>
    <s v="No"/>
    <m/>
    <s v="No"/>
    <n v="13"/>
    <x v="5"/>
    <x v="5"/>
  </r>
  <r>
    <s v="CMP-1062"/>
    <d v="2024-11-16T00:00:00"/>
    <d v="2024-11-26T00:00:00"/>
    <s v="communication delay"/>
    <x v="5"/>
    <x v="2"/>
    <s v="no "/>
    <s v="No"/>
    <s v="No"/>
    <s v="No"/>
    <s v="Issue not resolved"/>
    <s v="No"/>
    <n v="10"/>
    <x v="4"/>
    <x v="4"/>
  </r>
  <r>
    <s v="CMP-1096"/>
    <d v="2025-01-22T00:00:00"/>
    <d v="2025-01-25T00:00:00"/>
    <s v="billing Issue"/>
    <x v="3"/>
    <x v="1"/>
    <s v="No"/>
    <s v="No"/>
    <s v="No"/>
    <s v="No"/>
    <s v="Customer unhappy with delay"/>
    <s v="No"/>
    <n v="3"/>
    <x v="5"/>
    <x v="5"/>
  </r>
  <r>
    <s v="CMP-1143"/>
    <d v="2025-01-01T00:00:00"/>
    <d v="2025-01-09T00:00:00"/>
    <s v="billing Issue"/>
    <x v="3"/>
    <x v="1"/>
    <s v="Yes"/>
    <s v="Yes"/>
    <s v="Yes"/>
    <s v="Yes"/>
    <s v="Issue not resolved"/>
    <s v="No"/>
    <n v="8"/>
    <x v="5"/>
    <x v="5"/>
  </r>
  <r>
    <s v="CMP-1167"/>
    <d v="2025-03-04T00:00:00"/>
    <d v="2025-03-15T00:00:00"/>
    <s v="Service delay"/>
    <x v="2"/>
    <x v="3"/>
    <s v="N"/>
    <s v="No"/>
    <m/>
    <s v="No"/>
    <s v="Multiple follow-ups required"/>
    <s v="No"/>
    <n v="11"/>
    <x v="0"/>
    <x v="0"/>
  </r>
  <r>
    <s v="CMP-1252"/>
    <d v="2024-11-18T00:00:00"/>
    <d v="2024-12-01T00:00:00"/>
    <s v="communication delay"/>
    <x v="5"/>
    <x v="3"/>
    <m/>
    <s v="No"/>
    <s v="No"/>
    <s v="No"/>
    <s v="Issue not resolved"/>
    <s v="No"/>
    <n v="13"/>
    <x v="4"/>
    <x v="4"/>
  </r>
  <r>
    <s v="CMP-1046"/>
    <d v="2025-03-29T00:00:00"/>
    <d v="2025-04-18T00:00:00"/>
    <s v="billing Issue"/>
    <x v="3"/>
    <x v="1"/>
    <s v="yes "/>
    <s v="Yes"/>
    <s v="Yes"/>
    <s v="Yes"/>
    <s v="Customer unhappy with delay"/>
    <s v="No"/>
    <n v="20"/>
    <x v="0"/>
    <x v="0"/>
  </r>
  <r>
    <s v="CMP-1006"/>
    <d v="2024-10-13T00:00:00"/>
    <d v="2024-10-14T00:00:00"/>
    <s v="Policy update"/>
    <x v="0"/>
    <x v="1"/>
    <s v="N"/>
    <s v="No"/>
    <s v="Y"/>
    <s v="Yes"/>
    <m/>
    <s v="No"/>
    <n v="1"/>
    <x v="3"/>
    <x v="3"/>
  </r>
  <r>
    <s v="CMP-1230"/>
    <d v="2024-10-19T00:00:00"/>
    <d v="2024-10-20T00:00:00"/>
    <s v="billing Issue"/>
    <x v="3"/>
    <x v="0"/>
    <s v="yes "/>
    <s v="Yes"/>
    <m/>
    <s v="No"/>
    <m/>
    <s v="No"/>
    <n v="1"/>
    <x v="3"/>
    <x v="3"/>
  </r>
  <r>
    <s v="CMP-1251"/>
    <d v="2025-04-11T00:00:00"/>
    <d v="2025-04-22T00:00:00"/>
    <s v="billing Issue"/>
    <x v="3"/>
    <x v="4"/>
    <s v="no "/>
    <s v="No"/>
    <s v="Y"/>
    <s v="Yes"/>
    <s v="Issue not resolved"/>
    <s v="No"/>
    <n v="11"/>
    <x v="1"/>
    <x v="1"/>
  </r>
  <r>
    <s v="CMP-1017"/>
    <d v="2024-11-20T00:00:00"/>
    <d v="2024-11-26T00:00:00"/>
    <s v="Policy Update "/>
    <x v="0"/>
    <x v="4"/>
    <s v="N"/>
    <s v="No"/>
    <m/>
    <s v="No"/>
    <m/>
    <s v="No"/>
    <n v="6"/>
    <x v="4"/>
    <x v="4"/>
  </r>
  <r>
    <s v="CMP-1270"/>
    <d v="2025-03-07T00:00:00"/>
    <d v="2025-03-14T00:00:00"/>
    <s v="communication delay"/>
    <x v="5"/>
    <x v="3"/>
    <s v="No"/>
    <s v="No"/>
    <s v="Y"/>
    <s v="Yes"/>
    <s v="Multiple follow-ups required"/>
    <s v="No"/>
    <n v="7"/>
    <x v="0"/>
    <x v="0"/>
  </r>
  <r>
    <s v="CMP-1150"/>
    <d v="2025-03-28T00:00:00"/>
    <d v="2025-04-12T00:00:00"/>
    <s v="billing Issue"/>
    <x v="3"/>
    <x v="4"/>
    <s v="N"/>
    <s v="No"/>
    <m/>
    <s v="No"/>
    <s v="Multiple follow-ups required"/>
    <s v="No"/>
    <n v="15"/>
    <x v="0"/>
    <x v="0"/>
  </r>
  <r>
    <s v="CMP-1072"/>
    <d v="2024-11-22T00:00:00"/>
    <m/>
    <s v="Policy Update "/>
    <x v="0"/>
    <x v="2"/>
    <s v="N"/>
    <s v="No"/>
    <m/>
    <s v="No"/>
    <m/>
    <s v="Yes"/>
    <s v=""/>
    <x v="4"/>
    <x v="4"/>
  </r>
  <r>
    <s v="CMP-1230"/>
    <d v="2025-01-26T00:00:00"/>
    <d v="2025-01-29T00:00:00"/>
    <s v="billing Issue"/>
    <x v="3"/>
    <x v="4"/>
    <s v="yes "/>
    <s v="Yes"/>
    <s v="Y"/>
    <s v="Yes"/>
    <s v="Customer unhappy with delay"/>
    <s v="No"/>
    <n v="3"/>
    <x v="5"/>
    <x v="5"/>
  </r>
  <r>
    <s v="CMP-1081"/>
    <d v="2025-03-13T00:00:00"/>
    <d v="2025-04-02T00:00:00"/>
    <s v="Documentation error"/>
    <x v="1"/>
    <x v="4"/>
    <s v="No"/>
    <s v="No"/>
    <s v="Y"/>
    <s v="Yes"/>
    <s v="Multiple follow-ups required"/>
    <s v="No"/>
    <n v="20"/>
    <x v="0"/>
    <x v="0"/>
  </r>
  <r>
    <s v="CMP-1218"/>
    <d v="2024-12-26T00:00:00"/>
    <d v="2025-01-10T00:00:00"/>
    <s v="billing Issue"/>
    <x v="3"/>
    <x v="0"/>
    <m/>
    <s v="No"/>
    <s v="No"/>
    <s v="No"/>
    <s v="Issue not resolved"/>
    <s v="No"/>
    <n v="15"/>
    <x v="2"/>
    <x v="2"/>
  </r>
  <r>
    <s v="CMP-1036"/>
    <d v="2024-10-15T00:00:00"/>
    <d v="2024-11-02T00:00:00"/>
    <s v="billing Issue"/>
    <x v="3"/>
    <x v="0"/>
    <s v="Y"/>
    <s v="Yes"/>
    <m/>
    <s v="No"/>
    <m/>
    <s v="No"/>
    <n v="18"/>
    <x v="3"/>
    <x v="3"/>
  </r>
  <r>
    <s v="CMP-1048"/>
    <d v="2025-03-04T00:00:00"/>
    <d v="2025-03-09T00:00:00"/>
    <s v="Policy Update "/>
    <x v="0"/>
    <x v="2"/>
    <s v="N"/>
    <s v="No"/>
    <m/>
    <s v="No"/>
    <s v="Customer unhappy with delay"/>
    <s v="No"/>
    <n v="5"/>
    <x v="0"/>
    <x v="0"/>
  </r>
  <r>
    <s v="CMP-1276"/>
    <d v="2025-02-27T00:00:00"/>
    <m/>
    <s v="doc error"/>
    <x v="4"/>
    <x v="4"/>
    <s v="yes "/>
    <s v="Yes"/>
    <s v="N"/>
    <s v="No"/>
    <m/>
    <s v="Yes"/>
    <s v=""/>
    <x v="6"/>
    <x v="6"/>
  </r>
  <r>
    <s v="CMP-1009"/>
    <d v="2025-02-23T00:00:00"/>
    <d v="2025-03-09T00:00:00"/>
    <s v="Policy update"/>
    <x v="0"/>
    <x v="0"/>
    <s v="yes "/>
    <s v="Yes"/>
    <m/>
    <s v="No"/>
    <m/>
    <s v="No"/>
    <n v="14"/>
    <x v="6"/>
    <x v="6"/>
  </r>
  <r>
    <s v="CMP-1137"/>
    <d v="2024-10-31T00:00:00"/>
    <d v="2024-11-09T00:00:00"/>
    <s v="Service delay"/>
    <x v="2"/>
    <x v="2"/>
    <m/>
    <s v="No"/>
    <s v="Yes"/>
    <s v="Yes"/>
    <m/>
    <s v="No"/>
    <n v="9"/>
    <x v="3"/>
    <x v="3"/>
  </r>
  <r>
    <s v="CMP-1084"/>
    <d v="2024-10-24T00:00:00"/>
    <d v="2024-10-30T00:00:00"/>
    <s v="communication delay"/>
    <x v="5"/>
    <x v="0"/>
    <m/>
    <s v="No"/>
    <m/>
    <s v="No"/>
    <s v="Multiple follow-ups required"/>
    <s v="No"/>
    <n v="6"/>
    <x v="3"/>
    <x v="3"/>
  </r>
  <r>
    <s v="CMP-1160"/>
    <d v="2025-01-12T00:00:00"/>
    <d v="2025-01-25T00:00:00"/>
    <s v="billing Issue"/>
    <x v="3"/>
    <x v="0"/>
    <s v="No"/>
    <s v="No"/>
    <m/>
    <s v="No"/>
    <s v="Multiple follow-ups required"/>
    <s v="No"/>
    <n v="13"/>
    <x v="5"/>
    <x v="5"/>
  </r>
  <r>
    <s v="CMP-1180"/>
    <d v="2024-10-15T00:00:00"/>
    <d v="2024-10-25T00:00:00"/>
    <s v="billing Issue"/>
    <x v="3"/>
    <x v="2"/>
    <s v="Yes"/>
    <s v="Yes"/>
    <s v="Yes"/>
    <s v="Yes"/>
    <s v="Issue not resolved"/>
    <s v="No"/>
    <n v="10"/>
    <x v="3"/>
    <x v="3"/>
  </r>
  <r>
    <s v="CMP-1094"/>
    <d v="2024-12-08T00:00:00"/>
    <m/>
    <s v="communication delay"/>
    <x v="5"/>
    <x v="2"/>
    <s v="N"/>
    <s v="No"/>
    <m/>
    <s v="No"/>
    <s v="Multiple follow-ups required"/>
    <s v="Yes"/>
    <s v=""/>
    <x v="2"/>
    <x v="2"/>
  </r>
  <r>
    <s v="CMP-1235"/>
    <d v="2025-03-09T00:00:00"/>
    <d v="2025-03-24T00:00:00"/>
    <s v="billing Issue"/>
    <x v="3"/>
    <x v="3"/>
    <s v="yes "/>
    <s v="Yes"/>
    <m/>
    <s v="No"/>
    <s v="Customer unhappy with delay"/>
    <s v="No"/>
    <n v="15"/>
    <x v="0"/>
    <x v="0"/>
  </r>
  <r>
    <s v="CMP-1296"/>
    <d v="2025-01-01T00:00:00"/>
    <d v="2025-01-13T00:00:00"/>
    <s v="billing Issue"/>
    <x v="3"/>
    <x v="2"/>
    <s v="no "/>
    <s v="No"/>
    <s v="No"/>
    <s v="No"/>
    <m/>
    <s v="No"/>
    <n v="12"/>
    <x v="5"/>
    <x v="5"/>
  </r>
  <r>
    <s v="CMP-1136"/>
    <d v="2024-12-13T00:00:00"/>
    <m/>
    <s v="billing Issue"/>
    <x v="3"/>
    <x v="1"/>
    <s v="Y"/>
    <s v="Yes"/>
    <s v="Y"/>
    <s v="Yes"/>
    <s v="Multiple follow-ups required"/>
    <s v="Yes"/>
    <s v=""/>
    <x v="2"/>
    <x v="2"/>
  </r>
  <r>
    <s v="CMP-1006"/>
    <d v="2024-10-16T00:00:00"/>
    <d v="2024-11-05T00:00:00"/>
    <s v="billing Issue"/>
    <x v="3"/>
    <x v="2"/>
    <s v="yes "/>
    <s v="Yes"/>
    <s v="Yes"/>
    <s v="Yes"/>
    <s v="Customer unhappy with delay"/>
    <s v="No"/>
    <n v="20"/>
    <x v="3"/>
    <x v="3"/>
  </r>
  <r>
    <s v="CMP-1204"/>
    <d v="2024-11-10T00:00:00"/>
    <d v="2024-11-13T00:00:00"/>
    <s v="communication delay"/>
    <x v="5"/>
    <x v="2"/>
    <s v="No"/>
    <s v="No"/>
    <m/>
    <s v="No"/>
    <s v="Issue not resolved"/>
    <s v="No"/>
    <n v="3"/>
    <x v="4"/>
    <x v="4"/>
  </r>
  <r>
    <s v="CMP-1293"/>
    <d v="2025-02-23T00:00:00"/>
    <d v="2025-03-14T00:00:00"/>
    <s v="billing Issue"/>
    <x v="3"/>
    <x v="4"/>
    <s v="Y"/>
    <s v="Yes"/>
    <m/>
    <s v="No"/>
    <s v="Multiple follow-ups required"/>
    <s v="No"/>
    <n v="19"/>
    <x v="6"/>
    <x v="6"/>
  </r>
  <r>
    <s v="CMP-1291"/>
    <d v="2024-11-28T00:00:00"/>
    <d v="2024-12-15T00:00:00"/>
    <s v="Policy update"/>
    <x v="0"/>
    <x v="1"/>
    <s v="No"/>
    <s v="No"/>
    <s v="Y"/>
    <s v="Yes"/>
    <m/>
    <s v="No"/>
    <n v="17"/>
    <x v="4"/>
    <x v="4"/>
  </r>
  <r>
    <s v="CMP-1279"/>
    <d v="2025-01-16T00:00:00"/>
    <d v="2025-02-02T00:00:00"/>
    <s v="Documentation error"/>
    <x v="1"/>
    <x v="3"/>
    <s v="no "/>
    <s v="No"/>
    <s v="No"/>
    <s v="No"/>
    <s v="Issue not resolved"/>
    <s v="No"/>
    <n v="17"/>
    <x v="5"/>
    <x v="5"/>
  </r>
  <r>
    <s v="CMP-1105"/>
    <d v="2024-10-28T00:00:00"/>
    <m/>
    <s v="Documentation error"/>
    <x v="1"/>
    <x v="4"/>
    <s v="Yes"/>
    <s v="Yes"/>
    <m/>
    <s v="No"/>
    <s v="Multiple follow-ups required"/>
    <s v="Yes"/>
    <s v=""/>
    <x v="3"/>
    <x v="3"/>
  </r>
  <r>
    <s v="CMP-1019"/>
    <d v="2025-04-12T00:00:00"/>
    <d v="2025-04-19T00:00:00"/>
    <s v="Documentation error"/>
    <x v="1"/>
    <x v="1"/>
    <s v="yes "/>
    <s v="Yes"/>
    <s v="Yes"/>
    <s v="Yes"/>
    <s v="Issue not resolved"/>
    <s v="No"/>
    <n v="7"/>
    <x v="1"/>
    <x v="1"/>
  </r>
  <r>
    <s v="CMP-1180"/>
    <d v="2024-11-20T00:00:00"/>
    <d v="2024-12-04T00:00:00"/>
    <s v="Documentation error"/>
    <x v="1"/>
    <x v="0"/>
    <s v="N"/>
    <s v="No"/>
    <s v="Y"/>
    <s v="Yes"/>
    <m/>
    <s v="No"/>
    <n v="14"/>
    <x v="4"/>
    <x v="4"/>
  </r>
  <r>
    <s v="CMP-1140"/>
    <d v="2025-02-26T00:00:00"/>
    <d v="2025-03-11T00:00:00"/>
    <s v="billing Issue"/>
    <x v="3"/>
    <x v="0"/>
    <s v="Y"/>
    <s v="Yes"/>
    <m/>
    <s v="No"/>
    <s v="Customer unhappy with delay"/>
    <s v="No"/>
    <n v="13"/>
    <x v="6"/>
    <x v="6"/>
  </r>
  <r>
    <s v="CMP-1242"/>
    <d v="2024-11-14T00:00:00"/>
    <d v="2024-12-01T00:00:00"/>
    <s v="billing Issue"/>
    <x v="3"/>
    <x v="2"/>
    <m/>
    <s v="No"/>
    <s v="Y"/>
    <s v="Yes"/>
    <m/>
    <s v="No"/>
    <n v="17"/>
    <x v="4"/>
    <x v="4"/>
  </r>
  <r>
    <s v="CMP-1164"/>
    <d v="2025-03-31T00:00:00"/>
    <d v="2025-04-16T00:00:00"/>
    <s v="billing Issue"/>
    <x v="3"/>
    <x v="1"/>
    <s v="No"/>
    <s v="No"/>
    <m/>
    <s v="No"/>
    <m/>
    <s v="No"/>
    <n v="16"/>
    <x v="0"/>
    <x v="0"/>
  </r>
  <r>
    <s v="CMP-1053"/>
    <d v="2025-01-13T00:00:00"/>
    <m/>
    <s v="doc error"/>
    <x v="4"/>
    <x v="0"/>
    <s v="Y"/>
    <s v="Yes"/>
    <m/>
    <s v="No"/>
    <s v="Multiple follow-ups required"/>
    <s v="Yes"/>
    <s v=""/>
    <x v="5"/>
    <x v="5"/>
  </r>
  <r>
    <s v="CMP-1114"/>
    <d v="2025-02-28T00:00:00"/>
    <d v="2025-03-12T00:00:00"/>
    <s v="Policy update"/>
    <x v="0"/>
    <x v="2"/>
    <s v="yes "/>
    <s v="Yes"/>
    <s v="No"/>
    <s v="No"/>
    <s v="Issue not resolved"/>
    <s v="No"/>
    <n v="12"/>
    <x v="6"/>
    <x v="6"/>
  </r>
  <r>
    <s v="CMP-1144"/>
    <d v="2025-03-16T00:00:00"/>
    <d v="2025-03-25T00:00:00"/>
    <s v="billing Issue"/>
    <x v="3"/>
    <x v="0"/>
    <s v="no "/>
    <s v="No"/>
    <m/>
    <s v="No"/>
    <s v="Multiple follow-ups required"/>
    <s v="No"/>
    <n v="9"/>
    <x v="0"/>
    <x v="0"/>
  </r>
  <r>
    <s v="CMP-1294"/>
    <d v="2025-04-09T00:00:00"/>
    <d v="2025-04-11T00:00:00"/>
    <s v="communication delay"/>
    <x v="5"/>
    <x v="4"/>
    <m/>
    <s v="No"/>
    <m/>
    <s v="No"/>
    <s v="Customer unhappy with delay"/>
    <s v="No"/>
    <n v="2"/>
    <x v="1"/>
    <x v="1"/>
  </r>
  <r>
    <s v="CMP-1266"/>
    <d v="2024-11-19T00:00:00"/>
    <d v="2024-11-27T00:00:00"/>
    <s v="billing Issue"/>
    <x v="3"/>
    <x v="4"/>
    <s v="yes "/>
    <s v="Yes"/>
    <s v="Yes"/>
    <s v="Yes"/>
    <s v="Customer unhappy with delay"/>
    <s v="No"/>
    <n v="8"/>
    <x v="4"/>
    <x v="4"/>
  </r>
  <r>
    <s v="CMP-1297"/>
    <d v="2024-11-22T00:00:00"/>
    <d v="2024-12-10T00:00:00"/>
    <s v="Service delay"/>
    <x v="2"/>
    <x v="2"/>
    <s v="No"/>
    <s v="No"/>
    <s v="No"/>
    <s v="No"/>
    <s v="Customer unhappy with delay"/>
    <s v="No"/>
    <n v="18"/>
    <x v="4"/>
    <x v="4"/>
  </r>
  <r>
    <s v="CMP-1001"/>
    <d v="2024-11-16T00:00:00"/>
    <d v="2024-11-29T00:00:00"/>
    <s v="Service delay"/>
    <x v="2"/>
    <x v="1"/>
    <s v="yes "/>
    <s v="Yes"/>
    <s v="Y"/>
    <s v="Yes"/>
    <m/>
    <s v="No"/>
    <n v="13"/>
    <x v="4"/>
    <x v="4"/>
  </r>
  <r>
    <s v="CMP-1062"/>
    <d v="2025-02-05T00:00:00"/>
    <d v="2025-02-23T00:00:00"/>
    <s v="Policy update"/>
    <x v="0"/>
    <x v="4"/>
    <s v="yes "/>
    <s v="Yes"/>
    <s v="No"/>
    <s v="No"/>
    <s v="Customer unhappy with delay"/>
    <s v="No"/>
    <n v="18"/>
    <x v="6"/>
    <x v="6"/>
  </r>
  <r>
    <s v="CMP-1102"/>
    <d v="2024-12-02T00:00:00"/>
    <d v="2024-12-14T00:00:00"/>
    <s v="billing Issue"/>
    <x v="3"/>
    <x v="0"/>
    <m/>
    <s v="No"/>
    <s v="Y"/>
    <s v="Yes"/>
    <s v="Issue not resolved"/>
    <s v="No"/>
    <n v="12"/>
    <x v="2"/>
    <x v="2"/>
  </r>
  <r>
    <s v="CMP-1139"/>
    <d v="2025-02-06T00:00:00"/>
    <d v="2025-02-13T00:00:00"/>
    <s v="Documentation error"/>
    <x v="1"/>
    <x v="3"/>
    <s v="No"/>
    <s v="No"/>
    <s v="Yes"/>
    <s v="Yes"/>
    <s v="Customer unhappy with delay"/>
    <s v="No"/>
    <n v="7"/>
    <x v="6"/>
    <x v="6"/>
  </r>
  <r>
    <s v="CMP-1168"/>
    <d v="2024-12-16T00:00:00"/>
    <d v="2024-12-19T00:00:00"/>
    <s v="Policy Update "/>
    <x v="0"/>
    <x v="1"/>
    <s v="Yes"/>
    <s v="Yes"/>
    <m/>
    <s v="No"/>
    <s v="Issue not resolved"/>
    <s v="No"/>
    <n v="3"/>
    <x v="2"/>
    <x v="2"/>
  </r>
  <r>
    <s v="CMP-1128"/>
    <d v="2024-12-21T00:00:00"/>
    <d v="2025-01-07T00:00:00"/>
    <s v="Policy update"/>
    <x v="0"/>
    <x v="1"/>
    <s v="No"/>
    <s v="No"/>
    <s v="N"/>
    <s v="No"/>
    <m/>
    <s v="No"/>
    <n v="17"/>
    <x v="2"/>
    <x v="2"/>
  </r>
  <r>
    <s v="CMP-1094"/>
    <d v="2024-12-04T00:00:00"/>
    <d v="2024-12-13T00:00:00"/>
    <s v="billing Issue"/>
    <x v="3"/>
    <x v="3"/>
    <s v="no "/>
    <s v="No"/>
    <s v="No"/>
    <s v="No"/>
    <m/>
    <s v="No"/>
    <n v="9"/>
    <x v="2"/>
    <x v="2"/>
  </r>
  <r>
    <s v="CMP-1290"/>
    <d v="2024-10-24T00:00:00"/>
    <m/>
    <s v="doc error"/>
    <x v="4"/>
    <x v="2"/>
    <s v="Y"/>
    <s v="Yes"/>
    <s v="N"/>
    <s v="No"/>
    <s v="Issue not resolved"/>
    <s v="Yes"/>
    <s v=""/>
    <x v="3"/>
    <x v="3"/>
  </r>
  <r>
    <s v="CMP-1245"/>
    <d v="2024-11-14T00:00:00"/>
    <d v="2024-11-19T00:00:00"/>
    <s v="billing Issue"/>
    <x v="3"/>
    <x v="1"/>
    <s v="Y"/>
    <s v="Yes"/>
    <s v="Yes"/>
    <s v="Yes"/>
    <m/>
    <s v="No"/>
    <n v="5"/>
    <x v="4"/>
    <x v="4"/>
  </r>
  <r>
    <s v="CMP-1206"/>
    <d v="2025-01-22T00:00:00"/>
    <d v="2025-02-06T00:00:00"/>
    <s v="doc error"/>
    <x v="4"/>
    <x v="4"/>
    <s v="yes "/>
    <s v="Yes"/>
    <s v="Y"/>
    <s v="Yes"/>
    <m/>
    <s v="No"/>
    <n v="15"/>
    <x v="5"/>
    <x v="5"/>
  </r>
  <r>
    <s v="CMP-1046"/>
    <d v="2024-10-16T00:00:00"/>
    <d v="2024-10-21T00:00:00"/>
    <s v="billing Issue"/>
    <x v="3"/>
    <x v="1"/>
    <s v="N"/>
    <s v="No"/>
    <m/>
    <s v="No"/>
    <s v="Issue not resolved"/>
    <s v="No"/>
    <n v="5"/>
    <x v="3"/>
    <x v="3"/>
  </r>
  <r>
    <s v="CMP-1023"/>
    <d v="2024-11-08T00:00:00"/>
    <d v="2024-11-27T00:00:00"/>
    <s v="billing Issue"/>
    <x v="3"/>
    <x v="0"/>
    <s v="Yes"/>
    <s v="Yes"/>
    <m/>
    <s v="No"/>
    <s v="Issue not resolved"/>
    <s v="No"/>
    <n v="19"/>
    <x v="4"/>
    <x v="4"/>
  </r>
  <r>
    <s v="CMP-1040"/>
    <d v="2024-12-26T00:00:00"/>
    <d v="2025-01-06T00:00:00"/>
    <s v="communication delay"/>
    <x v="5"/>
    <x v="0"/>
    <m/>
    <s v="No"/>
    <m/>
    <s v="No"/>
    <s v="Multiple follow-ups required"/>
    <s v="No"/>
    <n v="11"/>
    <x v="2"/>
    <x v="2"/>
  </r>
  <r>
    <s v="CMP-1278"/>
    <d v="2024-11-24T00:00:00"/>
    <d v="2024-12-09T00:00:00"/>
    <s v="communication delay"/>
    <x v="5"/>
    <x v="0"/>
    <s v="yes "/>
    <s v="Yes"/>
    <s v="Yes"/>
    <s v="Yes"/>
    <m/>
    <s v="No"/>
    <n v="15"/>
    <x v="4"/>
    <x v="4"/>
  </r>
  <r>
    <s v="CMP-1208"/>
    <d v="2025-03-28T00:00:00"/>
    <d v="2025-03-31T00:00:00"/>
    <s v="billing Issue"/>
    <x v="3"/>
    <x v="2"/>
    <s v="No"/>
    <s v="No"/>
    <s v="No"/>
    <s v="No"/>
    <s v="Issue not resolved"/>
    <s v="No"/>
    <n v="3"/>
    <x v="0"/>
    <x v="0"/>
  </r>
  <r>
    <s v="CMP-1166"/>
    <d v="2025-01-27T00:00:00"/>
    <d v="2025-02-10T00:00:00"/>
    <s v="Service delay"/>
    <x v="2"/>
    <x v="0"/>
    <s v="N"/>
    <s v="No"/>
    <s v="Yes"/>
    <s v="Yes"/>
    <m/>
    <s v="No"/>
    <n v="14"/>
    <x v="5"/>
    <x v="5"/>
  </r>
  <r>
    <s v="CMP-1159"/>
    <d v="2024-11-07T00:00:00"/>
    <d v="2024-11-22T00:00:00"/>
    <s v="billing Issue"/>
    <x v="3"/>
    <x v="0"/>
    <s v="yes "/>
    <s v="Yes"/>
    <s v="N"/>
    <s v="No"/>
    <s v="Customer unhappy with delay"/>
    <s v="No"/>
    <n v="15"/>
    <x v="4"/>
    <x v="4"/>
  </r>
  <r>
    <s v="CMP-1251"/>
    <d v="2024-12-10T00:00:00"/>
    <d v="2024-12-14T00:00:00"/>
    <s v="billing Issue"/>
    <x v="3"/>
    <x v="3"/>
    <s v="Yes"/>
    <s v="Yes"/>
    <s v="Yes"/>
    <s v="Yes"/>
    <m/>
    <s v="No"/>
    <n v="4"/>
    <x v="2"/>
    <x v="2"/>
  </r>
  <r>
    <s v="CMP-1100"/>
    <d v="2025-01-17T00:00:00"/>
    <m/>
    <s v="Documentation error"/>
    <x v="1"/>
    <x v="0"/>
    <s v="no "/>
    <s v="No"/>
    <s v="N"/>
    <s v="No"/>
    <s v="Customer unhappy with delay"/>
    <s v="Yes"/>
    <s v=""/>
    <x v="5"/>
    <x v="5"/>
  </r>
  <r>
    <s v="CMP-1033"/>
    <d v="2025-04-14T00:00:00"/>
    <d v="2025-04-18T00:00:00"/>
    <s v="doc error"/>
    <x v="4"/>
    <x v="2"/>
    <s v="N"/>
    <s v="No"/>
    <s v="No"/>
    <s v="No"/>
    <m/>
    <s v="No"/>
    <n v="4"/>
    <x v="1"/>
    <x v="1"/>
  </r>
  <r>
    <s v="CMP-1135"/>
    <d v="2025-01-18T00:00:00"/>
    <d v="2025-02-05T00:00:00"/>
    <s v="billing Issue"/>
    <x v="3"/>
    <x v="2"/>
    <s v="Y"/>
    <s v="Yes"/>
    <s v="Yes"/>
    <s v="Yes"/>
    <m/>
    <s v="No"/>
    <n v="18"/>
    <x v="5"/>
    <x v="5"/>
  </r>
  <r>
    <s v="CMP-1289"/>
    <d v="2024-12-10T00:00:00"/>
    <m/>
    <s v="Policy Update "/>
    <x v="0"/>
    <x v="0"/>
    <s v="Yes"/>
    <s v="Yes"/>
    <s v="Yes"/>
    <s v="Yes"/>
    <s v="Customer unhappy with delay"/>
    <s v="Yes"/>
    <s v=""/>
    <x v="2"/>
    <x v="2"/>
  </r>
  <r>
    <s v="CMP-1114"/>
    <d v="2025-02-16T00:00:00"/>
    <d v="2025-02-21T00:00:00"/>
    <s v="communication delay"/>
    <x v="5"/>
    <x v="4"/>
    <s v="No"/>
    <s v="No"/>
    <s v="No"/>
    <s v="No"/>
    <m/>
    <s v="No"/>
    <n v="5"/>
    <x v="6"/>
    <x v="6"/>
  </r>
  <r>
    <s v="CMP-1032"/>
    <d v="2025-03-18T00:00:00"/>
    <d v="2025-03-27T00:00:00"/>
    <s v="Service delay"/>
    <x v="2"/>
    <x v="2"/>
    <s v="N"/>
    <s v="No"/>
    <m/>
    <s v="No"/>
    <m/>
    <s v="No"/>
    <n v="9"/>
    <x v="0"/>
    <x v="0"/>
  </r>
  <r>
    <s v="CMP-1004"/>
    <d v="2025-01-13T00:00:00"/>
    <d v="2025-02-01T00:00:00"/>
    <s v="Policy Update "/>
    <x v="0"/>
    <x v="1"/>
    <s v="no "/>
    <s v="No"/>
    <s v="N"/>
    <s v="No"/>
    <s v="Issue not resolved"/>
    <s v="No"/>
    <n v="19"/>
    <x v="5"/>
    <x v="5"/>
  </r>
  <r>
    <s v="CMP-1144"/>
    <d v="2024-10-23T00:00:00"/>
    <d v="2024-10-27T00:00:00"/>
    <s v="billing Issue"/>
    <x v="3"/>
    <x v="4"/>
    <s v="N"/>
    <s v="No"/>
    <s v="Yes"/>
    <s v="Yes"/>
    <m/>
    <s v="No"/>
    <n v="4"/>
    <x v="3"/>
    <x v="3"/>
  </r>
  <r>
    <s v="CMP-1140"/>
    <d v="2025-03-06T00:00:00"/>
    <d v="2025-03-14T00:00:00"/>
    <s v="billing Issue"/>
    <x v="3"/>
    <x v="3"/>
    <m/>
    <s v="No"/>
    <s v="N"/>
    <s v="No"/>
    <m/>
    <s v="No"/>
    <n v="8"/>
    <x v="0"/>
    <x v="0"/>
  </r>
  <r>
    <s v="CMP-1035"/>
    <d v="2025-01-17T00:00:00"/>
    <m/>
    <s v="billing Issue"/>
    <x v="3"/>
    <x v="4"/>
    <s v="Yes"/>
    <s v="Yes"/>
    <s v="Yes"/>
    <s v="Yes"/>
    <s v="Multiple follow-ups required"/>
    <s v="Yes"/>
    <s v=""/>
    <x v="5"/>
    <x v="5"/>
  </r>
  <r>
    <s v="CMP-1234"/>
    <d v="2025-03-02T00:00:00"/>
    <d v="2025-03-13T00:00:00"/>
    <s v="billing Issue"/>
    <x v="3"/>
    <x v="0"/>
    <s v="No"/>
    <s v="No"/>
    <m/>
    <s v="No"/>
    <s v="Issue not resolved"/>
    <s v="No"/>
    <n v="11"/>
    <x v="0"/>
    <x v="0"/>
  </r>
  <r>
    <s v="CMP-1042"/>
    <d v="2024-11-14T00:00:00"/>
    <d v="2024-11-29T00:00:00"/>
    <s v="Policy Update "/>
    <x v="0"/>
    <x v="2"/>
    <s v="N"/>
    <s v="No"/>
    <s v="Yes"/>
    <s v="Yes"/>
    <s v="Multiple follow-ups required"/>
    <s v="No"/>
    <n v="15"/>
    <x v="4"/>
    <x v="4"/>
  </r>
  <r>
    <s v="CMP-1270"/>
    <d v="2024-10-28T00:00:00"/>
    <d v="2024-11-14T00:00:00"/>
    <s v="doc error"/>
    <x v="4"/>
    <x v="2"/>
    <s v="No"/>
    <s v="No"/>
    <s v="No"/>
    <s v="No"/>
    <s v="Customer unhappy with delay"/>
    <s v="No"/>
    <n v="17"/>
    <x v="3"/>
    <x v="3"/>
  </r>
  <r>
    <s v="CMP-1013"/>
    <d v="2024-11-25T00:00:00"/>
    <d v="2024-12-07T00:00:00"/>
    <s v="billing Issue"/>
    <x v="3"/>
    <x v="3"/>
    <s v="Y"/>
    <s v="Yes"/>
    <s v="Y"/>
    <s v="Yes"/>
    <s v="Multiple follow-ups required"/>
    <s v="No"/>
    <n v="12"/>
    <x v="4"/>
    <x v="4"/>
  </r>
  <r>
    <s v="CMP-1131"/>
    <d v="2024-10-01T00:00:00"/>
    <d v="2024-10-17T00:00:00"/>
    <s v="billing Issue"/>
    <x v="3"/>
    <x v="0"/>
    <m/>
    <s v="No"/>
    <s v="Y"/>
    <s v="Yes"/>
    <m/>
    <s v="No"/>
    <n v="16"/>
    <x v="3"/>
    <x v="3"/>
  </r>
  <r>
    <s v="CMP-1166"/>
    <d v="2024-11-14T00:00:00"/>
    <d v="2024-11-21T00:00:00"/>
    <s v="communication delay"/>
    <x v="5"/>
    <x v="0"/>
    <s v="yes "/>
    <s v="Yes"/>
    <s v="N"/>
    <s v="No"/>
    <m/>
    <s v="No"/>
    <n v="7"/>
    <x v="4"/>
    <x v="4"/>
  </r>
  <r>
    <s v="CMP-1047"/>
    <d v="2025-01-27T00:00:00"/>
    <d v="2025-02-08T00:00:00"/>
    <s v="billing Issue"/>
    <x v="3"/>
    <x v="3"/>
    <s v="N"/>
    <s v="No"/>
    <s v="Yes"/>
    <s v="Yes"/>
    <m/>
    <s v="No"/>
    <n v="12"/>
    <x v="5"/>
    <x v="5"/>
  </r>
  <r>
    <s v="CMP-1077"/>
    <d v="2024-11-16T00:00:00"/>
    <m/>
    <s v="communication delay"/>
    <x v="5"/>
    <x v="3"/>
    <s v="Yes"/>
    <s v="Yes"/>
    <s v="Y"/>
    <s v="Yes"/>
    <s v="Multiple follow-ups required"/>
    <s v="Yes"/>
    <s v=""/>
    <x v="4"/>
    <x v="4"/>
  </r>
  <r>
    <s v="CMP-1100"/>
    <d v="2024-11-15T00:00:00"/>
    <d v="2024-11-19T00:00:00"/>
    <s v="Service delay"/>
    <x v="2"/>
    <x v="1"/>
    <s v="No"/>
    <s v="No"/>
    <m/>
    <s v="No"/>
    <m/>
    <s v="No"/>
    <n v="4"/>
    <x v="4"/>
    <x v="4"/>
  </r>
  <r>
    <s v="CMP-1150"/>
    <d v="2024-12-22T00:00:00"/>
    <m/>
    <s v="communication delay"/>
    <x v="5"/>
    <x v="0"/>
    <s v="N"/>
    <s v="No"/>
    <m/>
    <s v="No"/>
    <s v="Customer unhappy with delay"/>
    <s v="Yes"/>
    <s v=""/>
    <x v="2"/>
    <x v="2"/>
  </r>
  <r>
    <s v="CMP-1169"/>
    <d v="2025-02-08T00:00:00"/>
    <d v="2025-02-10T00:00:00"/>
    <s v="Policy update"/>
    <x v="0"/>
    <x v="2"/>
    <s v="no "/>
    <s v="No"/>
    <s v="Yes"/>
    <s v="Yes"/>
    <m/>
    <s v="No"/>
    <n v="2"/>
    <x v="6"/>
    <x v="6"/>
  </r>
  <r>
    <s v="CMP-1157"/>
    <d v="2024-10-08T00:00:00"/>
    <d v="2024-10-27T00:00:00"/>
    <s v="billing Issue"/>
    <x v="3"/>
    <x v="3"/>
    <s v="yes "/>
    <s v="Yes"/>
    <s v="No"/>
    <s v="No"/>
    <m/>
    <s v="No"/>
    <n v="19"/>
    <x v="3"/>
    <x v="3"/>
  </r>
  <r>
    <s v="CMP-1287"/>
    <d v="2024-10-20T00:00:00"/>
    <d v="2024-10-21T00:00:00"/>
    <s v="billing Issue"/>
    <x v="3"/>
    <x v="3"/>
    <s v="Y"/>
    <s v="Yes"/>
    <m/>
    <s v="No"/>
    <s v="Multiple follow-ups required"/>
    <s v="No"/>
    <n v="1"/>
    <x v="3"/>
    <x v="3"/>
  </r>
  <r>
    <s v="CMP-1185"/>
    <d v="2025-03-21T00:00:00"/>
    <d v="2025-04-10T00:00:00"/>
    <s v="doc error"/>
    <x v="4"/>
    <x v="3"/>
    <s v="Y"/>
    <s v="Yes"/>
    <s v="N"/>
    <s v="No"/>
    <m/>
    <s v="No"/>
    <n v="20"/>
    <x v="0"/>
    <x v="0"/>
  </r>
  <r>
    <s v="CMP-1045"/>
    <d v="2025-03-02T00:00:00"/>
    <d v="2025-03-03T00:00:00"/>
    <s v="billing Issue"/>
    <x v="3"/>
    <x v="0"/>
    <s v="N"/>
    <s v="No"/>
    <m/>
    <s v="No"/>
    <s v="Multiple follow-ups required"/>
    <s v="No"/>
    <n v="1"/>
    <x v="0"/>
    <x v="0"/>
  </r>
  <r>
    <s v="CMP-1074"/>
    <d v="2024-11-04T00:00:00"/>
    <m/>
    <s v="doc error"/>
    <x v="4"/>
    <x v="4"/>
    <s v="N"/>
    <s v="No"/>
    <m/>
    <s v="No"/>
    <m/>
    <s v="Yes"/>
    <s v=""/>
    <x v="4"/>
    <x v="4"/>
  </r>
  <r>
    <s v="CMP-1227"/>
    <d v="2024-11-14T00:00:00"/>
    <m/>
    <s v="Policy update"/>
    <x v="0"/>
    <x v="4"/>
    <s v="Yes"/>
    <s v="Yes"/>
    <m/>
    <s v="No"/>
    <s v="Multiple follow-ups required"/>
    <s v="Yes"/>
    <s v=""/>
    <x v="4"/>
    <x v="4"/>
  </r>
  <r>
    <s v="CMP-1221"/>
    <d v="2025-02-20T00:00:00"/>
    <d v="2025-03-01T00:00:00"/>
    <s v="billing Issue"/>
    <x v="3"/>
    <x v="2"/>
    <s v="N"/>
    <s v="No"/>
    <m/>
    <s v="No"/>
    <m/>
    <s v="No"/>
    <n v="9"/>
    <x v="6"/>
    <x v="6"/>
  </r>
  <r>
    <s v="CMP-1225"/>
    <d v="2025-02-07T00:00:00"/>
    <d v="2025-02-13T00:00:00"/>
    <s v="billing Issue"/>
    <x v="3"/>
    <x v="2"/>
    <s v="No"/>
    <s v="No"/>
    <s v="N"/>
    <s v="No"/>
    <s v="Multiple follow-ups required"/>
    <s v="No"/>
    <n v="6"/>
    <x v="6"/>
    <x v="6"/>
  </r>
  <r>
    <s v="CMP-1083"/>
    <d v="2025-03-05T00:00:00"/>
    <d v="2025-03-17T00:00:00"/>
    <s v="Policy update"/>
    <x v="0"/>
    <x v="4"/>
    <s v="no "/>
    <s v="No"/>
    <m/>
    <s v="No"/>
    <s v="Issue not resolved"/>
    <s v="No"/>
    <n v="12"/>
    <x v="0"/>
    <x v="0"/>
  </r>
  <r>
    <s v="CMP-1295"/>
    <d v="2025-02-12T00:00:00"/>
    <m/>
    <s v="doc error"/>
    <x v="4"/>
    <x v="0"/>
    <s v="Yes"/>
    <s v="Yes"/>
    <m/>
    <s v="No"/>
    <m/>
    <s v="Yes"/>
    <s v=""/>
    <x v="6"/>
    <x v="6"/>
  </r>
  <r>
    <s v="CMP-1188"/>
    <d v="2025-03-01T00:00:00"/>
    <d v="2025-03-13T00:00:00"/>
    <s v="communication delay"/>
    <x v="5"/>
    <x v="0"/>
    <s v="yes "/>
    <s v="Yes"/>
    <s v="No"/>
    <s v="No"/>
    <s v="Multiple follow-ups required"/>
    <s v="No"/>
    <n v="12"/>
    <x v="0"/>
    <x v="0"/>
  </r>
  <r>
    <s v="CMP-1163"/>
    <d v="2025-04-09T00:00:00"/>
    <d v="2025-04-23T00:00:00"/>
    <s v="doc error"/>
    <x v="4"/>
    <x v="0"/>
    <m/>
    <s v="No"/>
    <s v="Yes"/>
    <s v="Yes"/>
    <m/>
    <s v="No"/>
    <n v="14"/>
    <x v="1"/>
    <x v="1"/>
  </r>
  <r>
    <s v="CMP-1007"/>
    <d v="2025-01-10T00:00:00"/>
    <d v="2025-01-25T00:00:00"/>
    <s v="doc error"/>
    <x v="4"/>
    <x v="0"/>
    <s v="N"/>
    <s v="No"/>
    <s v="Y"/>
    <s v="Yes"/>
    <m/>
    <s v="No"/>
    <n v="15"/>
    <x v="5"/>
    <x v="5"/>
  </r>
  <r>
    <s v="CMP-1104"/>
    <d v="2025-01-12T00:00:00"/>
    <d v="2025-01-23T00:00:00"/>
    <s v="billing Issue"/>
    <x v="3"/>
    <x v="2"/>
    <s v="Yes"/>
    <s v="Yes"/>
    <m/>
    <s v="No"/>
    <s v="Customer unhappy with delay"/>
    <s v="No"/>
    <n v="11"/>
    <x v="5"/>
    <x v="5"/>
  </r>
  <r>
    <s v="CMP-1062"/>
    <d v="2024-11-04T00:00:00"/>
    <d v="2024-11-22T00:00:00"/>
    <s v="billing Issue"/>
    <x v="3"/>
    <x v="1"/>
    <s v="Y"/>
    <s v="Yes"/>
    <s v="Yes"/>
    <s v="Yes"/>
    <s v="Multiple follow-ups required"/>
    <s v="No"/>
    <n v="18"/>
    <x v="4"/>
    <x v="4"/>
  </r>
  <r>
    <s v="CMP-1195"/>
    <d v="2024-12-19T00:00:00"/>
    <d v="2024-12-23T00:00:00"/>
    <s v="billing Issue"/>
    <x v="3"/>
    <x v="0"/>
    <s v="No"/>
    <s v="No"/>
    <s v="No"/>
    <s v="No"/>
    <s v="Issue not resolved"/>
    <s v="No"/>
    <n v="4"/>
    <x v="2"/>
    <x v="2"/>
  </r>
  <r>
    <s v="CMP-1286"/>
    <d v="2024-10-16T00:00:00"/>
    <d v="2024-10-26T00:00:00"/>
    <s v="billing Issue"/>
    <x v="3"/>
    <x v="0"/>
    <s v="N"/>
    <s v="No"/>
    <s v="N"/>
    <s v="No"/>
    <m/>
    <s v="No"/>
    <n v="10"/>
    <x v="3"/>
    <x v="3"/>
  </r>
  <r>
    <s v="CMP-1288"/>
    <d v="2025-03-29T00:00:00"/>
    <d v="2025-04-07T00:00:00"/>
    <s v="Service delay"/>
    <x v="2"/>
    <x v="3"/>
    <s v="yes "/>
    <s v="Yes"/>
    <m/>
    <s v="No"/>
    <s v="Customer unhappy with delay"/>
    <s v="No"/>
    <n v="9"/>
    <x v="0"/>
    <x v="0"/>
  </r>
  <r>
    <s v="CMP-1069"/>
    <d v="2025-01-24T00:00:00"/>
    <d v="2025-02-04T00:00:00"/>
    <s v="billing Issue"/>
    <x v="3"/>
    <x v="3"/>
    <s v="Y"/>
    <s v="Yes"/>
    <m/>
    <s v="No"/>
    <m/>
    <s v="No"/>
    <n v="11"/>
    <x v="5"/>
    <x v="5"/>
  </r>
  <r>
    <s v="CMP-1253"/>
    <d v="2025-02-08T00:00:00"/>
    <d v="2025-02-27T00:00:00"/>
    <s v="communication delay"/>
    <x v="5"/>
    <x v="3"/>
    <s v="No"/>
    <s v="No"/>
    <s v="No"/>
    <s v="No"/>
    <m/>
    <s v="No"/>
    <n v="19"/>
    <x v="6"/>
    <x v="6"/>
  </r>
  <r>
    <s v="CMP-1048"/>
    <d v="2025-02-12T00:00:00"/>
    <m/>
    <s v="billing Issue"/>
    <x v="3"/>
    <x v="0"/>
    <s v="Y"/>
    <s v="Yes"/>
    <m/>
    <s v="No"/>
    <m/>
    <s v="Yes"/>
    <s v=""/>
    <x v="6"/>
    <x v="6"/>
  </r>
  <r>
    <s v="CMP-1287"/>
    <d v="2024-11-17T00:00:00"/>
    <m/>
    <s v="Service delay"/>
    <x v="2"/>
    <x v="1"/>
    <m/>
    <s v="No"/>
    <s v="Yes"/>
    <s v="Yes"/>
    <s v="Customer unhappy with delay"/>
    <s v="Yes"/>
    <s v=""/>
    <x v="4"/>
    <x v="4"/>
  </r>
  <r>
    <s v="CMP-1009"/>
    <d v="2025-02-19T00:00:00"/>
    <d v="2025-03-03T00:00:00"/>
    <s v="communication delay"/>
    <x v="5"/>
    <x v="3"/>
    <m/>
    <s v="No"/>
    <s v="Y"/>
    <s v="Yes"/>
    <s v="Issue not resolved"/>
    <s v="No"/>
    <n v="12"/>
    <x v="6"/>
    <x v="6"/>
  </r>
  <r>
    <s v="CMP-1126"/>
    <d v="2025-03-26T00:00:00"/>
    <d v="2025-04-14T00:00:00"/>
    <s v="communication delay"/>
    <x v="5"/>
    <x v="0"/>
    <m/>
    <s v="No"/>
    <s v="No"/>
    <s v="No"/>
    <s v="Customer unhappy with delay"/>
    <s v="No"/>
    <n v="19"/>
    <x v="0"/>
    <x v="0"/>
  </r>
  <r>
    <s v="CMP-1083"/>
    <d v="2024-12-09T00:00:00"/>
    <m/>
    <s v="billing Issue"/>
    <x v="3"/>
    <x v="0"/>
    <s v="Y"/>
    <s v="Yes"/>
    <s v="N"/>
    <s v="No"/>
    <s v="Multiple follow-ups required"/>
    <s v="Yes"/>
    <s v=""/>
    <x v="2"/>
    <x v="2"/>
  </r>
  <r>
    <s v="CMP-1098"/>
    <d v="2025-03-28T00:00:00"/>
    <d v="2025-04-11T00:00:00"/>
    <s v="communication delay"/>
    <x v="5"/>
    <x v="4"/>
    <s v="no "/>
    <s v="No"/>
    <m/>
    <s v="No"/>
    <m/>
    <s v="No"/>
    <n v="14"/>
    <x v="0"/>
    <x v="0"/>
  </r>
  <r>
    <s v="CMP-1225"/>
    <d v="2025-02-27T00:00:00"/>
    <d v="2025-03-02T00:00:00"/>
    <s v="Service delay"/>
    <x v="2"/>
    <x v="0"/>
    <s v="yes "/>
    <s v="Yes"/>
    <m/>
    <s v="No"/>
    <s v="Multiple follow-ups required"/>
    <s v="No"/>
    <n v="3"/>
    <x v="6"/>
    <x v="6"/>
  </r>
  <r>
    <s v="CMP-1056"/>
    <d v="2024-11-04T00:00:00"/>
    <d v="2024-11-05T00:00:00"/>
    <s v="Documentation error"/>
    <x v="1"/>
    <x v="0"/>
    <s v="no "/>
    <s v="No"/>
    <m/>
    <s v="No"/>
    <m/>
    <s v="No"/>
    <n v="1"/>
    <x v="4"/>
    <x v="4"/>
  </r>
  <r>
    <s v="CMP-1080"/>
    <d v="2025-02-03T00:00:00"/>
    <d v="2025-02-15T00:00:00"/>
    <s v="Documentation error"/>
    <x v="1"/>
    <x v="3"/>
    <s v="yes "/>
    <s v="Yes"/>
    <s v="Y"/>
    <s v="Yes"/>
    <s v="Issue not resolved"/>
    <s v="No"/>
    <n v="12"/>
    <x v="6"/>
    <x v="6"/>
  </r>
  <r>
    <s v="CMP-1124"/>
    <d v="2025-01-14T00:00:00"/>
    <d v="2025-01-27T00:00:00"/>
    <s v="communication delay"/>
    <x v="5"/>
    <x v="4"/>
    <s v="yes "/>
    <s v="Yes"/>
    <s v="N"/>
    <s v="No"/>
    <s v="Customer unhappy with delay"/>
    <s v="No"/>
    <n v="13"/>
    <x v="5"/>
    <x v="5"/>
  </r>
  <r>
    <s v="CMP-1096"/>
    <d v="2025-02-02T00:00:00"/>
    <d v="2025-02-18T00:00:00"/>
    <s v="billing Issue"/>
    <x v="3"/>
    <x v="2"/>
    <s v="yes "/>
    <s v="Yes"/>
    <s v="N"/>
    <s v="No"/>
    <s v="Issue not resolved"/>
    <s v="No"/>
    <n v="16"/>
    <x v="6"/>
    <x v="6"/>
  </r>
  <r>
    <s v="CMP-1054"/>
    <d v="2025-04-17T00:00:00"/>
    <d v="2025-05-03T00:00:00"/>
    <s v="Documentation error"/>
    <x v="1"/>
    <x v="3"/>
    <s v="No"/>
    <s v="No"/>
    <s v="N"/>
    <s v="No"/>
    <s v="Multiple follow-ups required"/>
    <s v="No"/>
    <n v="16"/>
    <x v="1"/>
    <x v="1"/>
  </r>
  <r>
    <s v="CMP-1161"/>
    <d v="2025-04-05T00:00:00"/>
    <d v="2025-04-13T00:00:00"/>
    <s v="communication delay"/>
    <x v="5"/>
    <x v="4"/>
    <s v="No"/>
    <s v="No"/>
    <s v="Y"/>
    <s v="Yes"/>
    <m/>
    <s v="No"/>
    <n v="8"/>
    <x v="1"/>
    <x v="1"/>
  </r>
  <r>
    <s v="CMP-1038"/>
    <d v="2024-11-09T00:00:00"/>
    <d v="2024-11-24T00:00:00"/>
    <s v="communication delay"/>
    <x v="5"/>
    <x v="0"/>
    <s v="no "/>
    <s v="No"/>
    <s v="Yes"/>
    <s v="Yes"/>
    <m/>
    <s v="No"/>
    <n v="15"/>
    <x v="4"/>
    <x v="4"/>
  </r>
  <r>
    <s v="CMP-1270"/>
    <d v="2025-01-13T00:00:00"/>
    <d v="2025-01-23T00:00:00"/>
    <s v="Policy update"/>
    <x v="0"/>
    <x v="3"/>
    <s v="Y"/>
    <s v="Yes"/>
    <m/>
    <s v="No"/>
    <s v="Issue not resolved"/>
    <s v="No"/>
    <n v="10"/>
    <x v="5"/>
    <x v="5"/>
  </r>
  <r>
    <s v="CMP-1005"/>
    <d v="2024-11-27T00:00:00"/>
    <m/>
    <s v="communication delay"/>
    <x v="5"/>
    <x v="4"/>
    <s v="No"/>
    <s v="No"/>
    <s v="Y"/>
    <s v="Yes"/>
    <m/>
    <s v="Yes"/>
    <s v=""/>
    <x v="4"/>
    <x v="4"/>
  </r>
  <r>
    <s v="CMP-1247"/>
    <d v="2024-10-07T00:00:00"/>
    <d v="2024-10-23T00:00:00"/>
    <s v="Documentation error"/>
    <x v="1"/>
    <x v="0"/>
    <s v="Yes"/>
    <s v="Yes"/>
    <s v="N"/>
    <s v="No"/>
    <s v="Multiple follow-ups required"/>
    <s v="No"/>
    <n v="16"/>
    <x v="3"/>
    <x v="3"/>
  </r>
  <r>
    <s v="CMP-1216"/>
    <d v="2025-04-14T00:00:00"/>
    <d v="2025-04-24T00:00:00"/>
    <s v="communication delay"/>
    <x v="5"/>
    <x v="0"/>
    <s v="Y"/>
    <s v="Yes"/>
    <m/>
    <s v="No"/>
    <m/>
    <s v="No"/>
    <n v="10"/>
    <x v="1"/>
    <x v="1"/>
  </r>
  <r>
    <s v="CMP-1185"/>
    <d v="2024-10-02T00:00:00"/>
    <d v="2024-10-19T00:00:00"/>
    <s v="billing Issue"/>
    <x v="3"/>
    <x v="2"/>
    <s v="Y"/>
    <s v="Yes"/>
    <s v="Y"/>
    <s v="Yes"/>
    <s v="Customer unhappy with delay"/>
    <s v="No"/>
    <n v="17"/>
    <x v="3"/>
    <x v="3"/>
  </r>
  <r>
    <s v="CMP-1161"/>
    <d v="2025-02-03T00:00:00"/>
    <d v="2025-02-22T00:00:00"/>
    <s v="Policy Update "/>
    <x v="0"/>
    <x v="4"/>
    <s v="yes "/>
    <s v="Yes"/>
    <s v="Yes"/>
    <s v="Yes"/>
    <s v="Customer unhappy with delay"/>
    <s v="No"/>
    <n v="19"/>
    <x v="6"/>
    <x v="6"/>
  </r>
  <r>
    <s v="CMP-1105"/>
    <d v="2024-10-01T00:00:00"/>
    <d v="2024-10-14T00:00:00"/>
    <s v="billing Issue"/>
    <x v="3"/>
    <x v="0"/>
    <s v="no "/>
    <s v="No"/>
    <m/>
    <s v="No"/>
    <s v="Issue not resolved"/>
    <s v="No"/>
    <n v="13"/>
    <x v="3"/>
    <x v="3"/>
  </r>
  <r>
    <s v="CMP-1270"/>
    <d v="2024-10-18T00:00:00"/>
    <d v="2024-10-30T00:00:00"/>
    <s v="billing Issue"/>
    <x v="3"/>
    <x v="3"/>
    <s v="N"/>
    <s v="No"/>
    <s v="N"/>
    <s v="No"/>
    <s v="Issue not resolved"/>
    <s v="No"/>
    <n v="12"/>
    <x v="3"/>
    <x v="3"/>
  </r>
  <r>
    <s v="CMP-1234"/>
    <d v="2025-01-18T00:00:00"/>
    <d v="2025-01-27T00:00:00"/>
    <s v="Policy update"/>
    <x v="0"/>
    <x v="1"/>
    <m/>
    <s v="No"/>
    <s v="No"/>
    <s v="No"/>
    <s v="Multiple follow-ups required"/>
    <s v="No"/>
    <n v="9"/>
    <x v="5"/>
    <x v="5"/>
  </r>
  <r>
    <s v="CMP-1096"/>
    <d v="2024-12-31T00:00:00"/>
    <d v="2025-01-05T00:00:00"/>
    <s v="billing Issue"/>
    <x v="3"/>
    <x v="4"/>
    <s v="Yes"/>
    <s v="Yes"/>
    <s v="Y"/>
    <s v="Yes"/>
    <s v="Customer unhappy with delay"/>
    <s v="No"/>
    <n v="5"/>
    <x v="2"/>
    <x v="2"/>
  </r>
  <r>
    <s v="CMP-1226"/>
    <d v="2024-12-24T00:00:00"/>
    <d v="2024-12-28T00:00:00"/>
    <s v="Documentation error"/>
    <x v="1"/>
    <x v="0"/>
    <s v="no "/>
    <s v="No"/>
    <m/>
    <s v="No"/>
    <s v="Issue not resolved"/>
    <s v="No"/>
    <n v="4"/>
    <x v="2"/>
    <x v="2"/>
  </r>
  <r>
    <s v="CMP-1273"/>
    <d v="2024-12-30T00:00:00"/>
    <d v="2025-01-05T00:00:00"/>
    <s v="billing Issue"/>
    <x v="3"/>
    <x v="0"/>
    <s v="N"/>
    <s v="No"/>
    <s v="Yes"/>
    <s v="Yes"/>
    <s v="Issue not resolved"/>
    <s v="No"/>
    <n v="6"/>
    <x v="2"/>
    <x v="2"/>
  </r>
  <r>
    <s v="CMP-1232"/>
    <d v="2025-02-28T00:00:00"/>
    <d v="2025-03-13T00:00:00"/>
    <s v="Policy Update "/>
    <x v="0"/>
    <x v="0"/>
    <s v="Y"/>
    <s v="Yes"/>
    <s v="N"/>
    <s v="No"/>
    <s v="Issue not resolved"/>
    <s v="No"/>
    <n v="13"/>
    <x v="6"/>
    <x v="6"/>
  </r>
  <r>
    <s v="CMP-1257"/>
    <d v="2025-02-09T00:00:00"/>
    <d v="2025-02-23T00:00:00"/>
    <s v="doc error"/>
    <x v="4"/>
    <x v="3"/>
    <s v="N"/>
    <s v="No"/>
    <s v="N"/>
    <s v="No"/>
    <m/>
    <s v="No"/>
    <n v="14"/>
    <x v="6"/>
    <x v="6"/>
  </r>
  <r>
    <s v="CMP-1054"/>
    <d v="2024-12-21T00:00:00"/>
    <m/>
    <s v="Service delay"/>
    <x v="2"/>
    <x v="2"/>
    <s v="N"/>
    <s v="No"/>
    <s v="Yes"/>
    <s v="Yes"/>
    <m/>
    <s v="Yes"/>
    <s v=""/>
    <x v="2"/>
    <x v="2"/>
  </r>
  <r>
    <s v="CMP-1211"/>
    <d v="2025-02-07T00:00:00"/>
    <d v="2025-02-15T00:00:00"/>
    <s v="Policy Update "/>
    <x v="0"/>
    <x v="0"/>
    <m/>
    <s v="No"/>
    <m/>
    <s v="No"/>
    <s v="Customer unhappy with delay"/>
    <s v="No"/>
    <n v="8"/>
    <x v="6"/>
    <x v="6"/>
  </r>
  <r>
    <s v="CMP-1149"/>
    <d v="2024-10-10T00:00:00"/>
    <d v="2024-10-13T00:00:00"/>
    <s v="billing Issue"/>
    <x v="3"/>
    <x v="2"/>
    <s v="Y"/>
    <s v="Yes"/>
    <s v="Y"/>
    <s v="Yes"/>
    <s v="Customer unhappy with delay"/>
    <s v="No"/>
    <n v="3"/>
    <x v="3"/>
    <x v="3"/>
  </r>
  <r>
    <s v="CMP-1263"/>
    <d v="2024-10-12T00:00:00"/>
    <m/>
    <s v="Policy update"/>
    <x v="0"/>
    <x v="0"/>
    <m/>
    <s v="No"/>
    <m/>
    <s v="No"/>
    <s v="Issue not resolved"/>
    <s v="Yes"/>
    <s v=""/>
    <x v="3"/>
    <x v="3"/>
  </r>
  <r>
    <s v="CMP-1230"/>
    <d v="2025-03-15T00:00:00"/>
    <d v="2025-04-03T00:00:00"/>
    <s v="Policy Update "/>
    <x v="0"/>
    <x v="0"/>
    <s v="N"/>
    <s v="No"/>
    <s v="N"/>
    <s v="No"/>
    <s v="Multiple follow-ups required"/>
    <s v="No"/>
    <n v="19"/>
    <x v="0"/>
    <x v="0"/>
  </r>
  <r>
    <s v="CMP-1057"/>
    <d v="2024-10-02T00:00:00"/>
    <d v="2024-10-03T00:00:00"/>
    <s v="billing Issue"/>
    <x v="3"/>
    <x v="4"/>
    <s v="N"/>
    <s v="No"/>
    <s v="Yes"/>
    <s v="Yes"/>
    <m/>
    <s v="No"/>
    <n v="1"/>
    <x v="3"/>
    <x v="3"/>
  </r>
  <r>
    <s v="CMP-1150"/>
    <d v="2024-10-11T00:00:00"/>
    <d v="2024-10-19T00:00:00"/>
    <s v="communication delay"/>
    <x v="5"/>
    <x v="0"/>
    <s v="No"/>
    <s v="No"/>
    <m/>
    <s v="No"/>
    <m/>
    <s v="No"/>
    <n v="8"/>
    <x v="3"/>
    <x v="3"/>
  </r>
  <r>
    <s v="CMP-1287"/>
    <d v="2025-03-15T00:00:00"/>
    <m/>
    <s v="doc error"/>
    <x v="4"/>
    <x v="2"/>
    <s v="N"/>
    <s v="No"/>
    <m/>
    <s v="No"/>
    <s v="Customer unhappy with delay"/>
    <s v="Yes"/>
    <s v=""/>
    <x v="0"/>
    <x v="0"/>
  </r>
  <r>
    <s v="CMP-1191"/>
    <d v="2024-10-11T00:00:00"/>
    <m/>
    <s v="communication delay"/>
    <x v="5"/>
    <x v="3"/>
    <s v="yes "/>
    <s v="Yes"/>
    <s v="Y"/>
    <s v="Yes"/>
    <m/>
    <s v="Yes"/>
    <s v=""/>
    <x v="3"/>
    <x v="3"/>
  </r>
  <r>
    <s v="CMP-1044"/>
    <d v="2025-02-16T00:00:00"/>
    <m/>
    <s v="communication delay"/>
    <x v="5"/>
    <x v="1"/>
    <s v="No"/>
    <s v="No"/>
    <s v="No"/>
    <s v="No"/>
    <s v="Customer unhappy with delay"/>
    <s v="Yes"/>
    <s v=""/>
    <x v="6"/>
    <x v="6"/>
  </r>
  <r>
    <s v="CMP-1027"/>
    <d v="2024-12-16T00:00:00"/>
    <d v="2024-12-21T00:00:00"/>
    <s v="communication delay"/>
    <x v="5"/>
    <x v="0"/>
    <s v="no "/>
    <s v="No"/>
    <m/>
    <s v="No"/>
    <m/>
    <s v="No"/>
    <n v="5"/>
    <x v="2"/>
    <x v="2"/>
  </r>
  <r>
    <s v="CMP-1131"/>
    <d v="2025-02-12T00:00:00"/>
    <d v="2025-02-26T00:00:00"/>
    <s v="billing Issue"/>
    <x v="3"/>
    <x v="2"/>
    <s v="yes "/>
    <s v="Yes"/>
    <s v="No"/>
    <s v="No"/>
    <m/>
    <s v="No"/>
    <n v="14"/>
    <x v="6"/>
    <x v="6"/>
  </r>
  <r>
    <s v="CMP-1219"/>
    <d v="2025-03-19T00:00:00"/>
    <d v="2025-03-20T00:00:00"/>
    <s v="Policy update"/>
    <x v="0"/>
    <x v="3"/>
    <s v="Yes"/>
    <s v="Yes"/>
    <m/>
    <s v="No"/>
    <s v="Customer unhappy with delay"/>
    <s v="No"/>
    <n v="1"/>
    <x v="0"/>
    <x v="0"/>
  </r>
  <r>
    <s v="CMP-1116"/>
    <d v="2025-03-02T00:00:00"/>
    <d v="2025-03-19T00:00:00"/>
    <s v="Policy update"/>
    <x v="0"/>
    <x v="0"/>
    <s v="Y"/>
    <s v="Yes"/>
    <s v="Y"/>
    <s v="Yes"/>
    <s v="Customer unhappy with delay"/>
    <s v="No"/>
    <n v="17"/>
    <x v="0"/>
    <x v="0"/>
  </r>
  <r>
    <s v="CMP-1263"/>
    <d v="2025-01-02T00:00:00"/>
    <d v="2025-01-19T00:00:00"/>
    <s v="communication delay"/>
    <x v="5"/>
    <x v="2"/>
    <s v="yes "/>
    <s v="Yes"/>
    <m/>
    <s v="No"/>
    <m/>
    <s v="No"/>
    <n v="17"/>
    <x v="5"/>
    <x v="5"/>
  </r>
  <r>
    <s v="CMP-1007"/>
    <d v="2024-11-30T00:00:00"/>
    <d v="2024-12-09T00:00:00"/>
    <s v="Documentation error"/>
    <x v="1"/>
    <x v="4"/>
    <s v="No"/>
    <s v="No"/>
    <s v="N"/>
    <s v="No"/>
    <m/>
    <s v="No"/>
    <n v="9"/>
    <x v="4"/>
    <x v="4"/>
  </r>
  <r>
    <s v="CMP-1021"/>
    <d v="2025-01-21T00:00:00"/>
    <m/>
    <s v="Policy Update "/>
    <x v="0"/>
    <x v="2"/>
    <s v="no "/>
    <s v="No"/>
    <s v="Y"/>
    <s v="Yes"/>
    <s v="Customer unhappy with delay"/>
    <s v="Yes"/>
    <s v=""/>
    <x v="5"/>
    <x v="5"/>
  </r>
  <r>
    <s v="CMP-1170"/>
    <d v="2024-10-19T00:00:00"/>
    <d v="2024-10-26T00:00:00"/>
    <s v="communication delay"/>
    <x v="5"/>
    <x v="0"/>
    <s v="Yes"/>
    <s v="Yes"/>
    <s v="No"/>
    <s v="No"/>
    <m/>
    <s v="No"/>
    <n v="7"/>
    <x v="3"/>
    <x v="3"/>
  </r>
  <r>
    <s v="CMP-1060"/>
    <d v="2024-12-11T00:00:00"/>
    <d v="2024-12-19T00:00:00"/>
    <s v="Policy Update "/>
    <x v="0"/>
    <x v="2"/>
    <s v="no "/>
    <s v="No"/>
    <s v="Y"/>
    <s v="Yes"/>
    <s v="Multiple follow-ups required"/>
    <s v="No"/>
    <n v="8"/>
    <x v="2"/>
    <x v="2"/>
  </r>
  <r>
    <s v="CMP-1296"/>
    <d v="2024-10-26T00:00:00"/>
    <d v="2024-11-08T00:00:00"/>
    <s v="doc error"/>
    <x v="4"/>
    <x v="2"/>
    <s v="no "/>
    <s v="No"/>
    <m/>
    <s v="No"/>
    <m/>
    <s v="No"/>
    <n v="13"/>
    <x v="3"/>
    <x v="3"/>
  </r>
  <r>
    <s v="CMP-1141"/>
    <d v="2024-11-28T00:00:00"/>
    <m/>
    <s v="communication delay"/>
    <x v="5"/>
    <x v="0"/>
    <s v="Y"/>
    <s v="Yes"/>
    <s v="No"/>
    <s v="No"/>
    <m/>
    <s v="Yes"/>
    <s v=""/>
    <x v="4"/>
    <x v="4"/>
  </r>
  <r>
    <s v="CMP-1281"/>
    <d v="2025-04-09T00:00:00"/>
    <m/>
    <s v="Documentation error"/>
    <x v="1"/>
    <x v="3"/>
    <s v="No"/>
    <s v="No"/>
    <m/>
    <s v="No"/>
    <m/>
    <s v="Yes"/>
    <s v=""/>
    <x v="1"/>
    <x v="1"/>
  </r>
  <r>
    <s v="CMP-1214"/>
    <d v="2024-11-24T00:00:00"/>
    <d v="2024-12-10T00:00:00"/>
    <s v="communication delay"/>
    <x v="5"/>
    <x v="2"/>
    <s v="yes "/>
    <s v="Yes"/>
    <s v="Yes"/>
    <s v="Yes"/>
    <s v="Multiple follow-ups required"/>
    <s v="No"/>
    <n v="16"/>
    <x v="4"/>
    <x v="4"/>
  </r>
  <r>
    <s v="CMP-1268"/>
    <d v="2025-04-09T00:00:00"/>
    <d v="2025-04-23T00:00:00"/>
    <s v="Service delay"/>
    <x v="2"/>
    <x v="0"/>
    <s v="N"/>
    <s v="No"/>
    <m/>
    <s v="No"/>
    <s v="Customer unhappy with delay"/>
    <s v="No"/>
    <n v="14"/>
    <x v="1"/>
    <x v="1"/>
  </r>
  <r>
    <s v="CMP-1063"/>
    <d v="2025-02-18T00:00:00"/>
    <d v="2025-02-20T00:00:00"/>
    <s v="communication delay"/>
    <x v="5"/>
    <x v="2"/>
    <s v="Y"/>
    <s v="Yes"/>
    <s v="Yes"/>
    <s v="Yes"/>
    <s v="Issue not resolved"/>
    <s v="No"/>
    <n v="2"/>
    <x v="6"/>
    <x v="6"/>
  </r>
  <r>
    <s v="CMP-1067"/>
    <d v="2025-03-28T00:00:00"/>
    <m/>
    <s v="billing Issue"/>
    <x v="3"/>
    <x v="2"/>
    <m/>
    <s v="No"/>
    <s v="No"/>
    <s v="No"/>
    <s v="Issue not resolved"/>
    <s v="Yes"/>
    <s v=""/>
    <x v="0"/>
    <x v="0"/>
  </r>
  <r>
    <s v="CMP-1097"/>
    <d v="2024-12-05T00:00:00"/>
    <d v="2024-12-07T00:00:00"/>
    <s v="Service delay"/>
    <x v="2"/>
    <x v="3"/>
    <s v="yes "/>
    <s v="Yes"/>
    <s v="Yes"/>
    <s v="Yes"/>
    <s v="Customer unhappy with delay"/>
    <s v="No"/>
    <n v="2"/>
    <x v="2"/>
    <x v="2"/>
  </r>
  <r>
    <s v="CMP-1100"/>
    <d v="2025-01-03T00:00:00"/>
    <d v="2025-01-11T00:00:00"/>
    <s v="Policy update"/>
    <x v="0"/>
    <x v="0"/>
    <s v="N"/>
    <s v="No"/>
    <m/>
    <s v="No"/>
    <s v="Customer unhappy with delay"/>
    <s v="No"/>
    <n v="8"/>
    <x v="5"/>
    <x v="5"/>
  </r>
  <r>
    <s v="CMP-1035"/>
    <d v="2024-11-25T00:00:00"/>
    <d v="2024-12-03T00:00:00"/>
    <s v="communication delay"/>
    <x v="5"/>
    <x v="1"/>
    <s v="N"/>
    <s v="No"/>
    <s v="Yes"/>
    <s v="Yes"/>
    <m/>
    <s v="No"/>
    <n v="8"/>
    <x v="4"/>
    <x v="4"/>
  </r>
  <r>
    <s v="CMP-1143"/>
    <d v="2025-02-18T00:00:00"/>
    <d v="2025-02-27T00:00:00"/>
    <s v="communication delay"/>
    <x v="5"/>
    <x v="1"/>
    <s v="Y"/>
    <s v="Yes"/>
    <s v="N"/>
    <s v="No"/>
    <s v="Customer unhappy with delay"/>
    <s v="No"/>
    <n v="9"/>
    <x v="6"/>
    <x v="6"/>
  </r>
  <r>
    <s v="CMP-1111"/>
    <d v="2025-01-27T00:00:00"/>
    <d v="2025-02-08T00:00:00"/>
    <s v="billing Issue"/>
    <x v="3"/>
    <x v="0"/>
    <s v="Y"/>
    <s v="Yes"/>
    <s v="Yes"/>
    <s v="Yes"/>
    <s v="Customer unhappy with delay"/>
    <s v="No"/>
    <n v="12"/>
    <x v="5"/>
    <x v="5"/>
  </r>
  <r>
    <s v="CMP-1100"/>
    <d v="2025-03-20T00:00:00"/>
    <d v="2025-04-02T00:00:00"/>
    <s v="billing Issue"/>
    <x v="3"/>
    <x v="3"/>
    <s v="No"/>
    <s v="No"/>
    <s v="Y"/>
    <s v="Yes"/>
    <m/>
    <s v="No"/>
    <n v="13"/>
    <x v="0"/>
    <x v="0"/>
  </r>
  <r>
    <s v="CMP-1201"/>
    <d v="2024-11-18T00:00:00"/>
    <d v="2024-11-28T00:00:00"/>
    <s v="Policy update"/>
    <x v="0"/>
    <x v="4"/>
    <s v="No"/>
    <s v="No"/>
    <m/>
    <s v="No"/>
    <m/>
    <s v="No"/>
    <n v="10"/>
    <x v="4"/>
    <x v="4"/>
  </r>
  <r>
    <s v="CMP-1210"/>
    <d v="2025-01-01T00:00:00"/>
    <m/>
    <s v="billing Issue"/>
    <x v="3"/>
    <x v="0"/>
    <s v="Yes"/>
    <s v="Yes"/>
    <s v="Yes"/>
    <s v="Yes"/>
    <s v="Issue not resolved"/>
    <s v="Yes"/>
    <s v=""/>
    <x v="5"/>
    <x v="5"/>
  </r>
  <r>
    <s v="CMP-1288"/>
    <d v="2024-12-25T00:00:00"/>
    <d v="2025-01-12T00:00:00"/>
    <s v="Documentation error"/>
    <x v="1"/>
    <x v="2"/>
    <s v="No"/>
    <s v="No"/>
    <s v="Y"/>
    <s v="Yes"/>
    <m/>
    <s v="No"/>
    <n v="18"/>
    <x v="2"/>
    <x v="2"/>
  </r>
  <r>
    <s v="CMP-1133"/>
    <d v="2025-04-14T00:00:00"/>
    <d v="2025-04-23T00:00:00"/>
    <s v="billing Issue"/>
    <x v="3"/>
    <x v="2"/>
    <s v="no "/>
    <s v="No"/>
    <m/>
    <s v="No"/>
    <m/>
    <s v="No"/>
    <n v="9"/>
    <x v="1"/>
    <x v="1"/>
  </r>
  <r>
    <s v="CMP-1153"/>
    <d v="2024-12-09T00:00:00"/>
    <d v="2024-12-17T00:00:00"/>
    <s v="Service delay"/>
    <x v="2"/>
    <x v="1"/>
    <s v="No"/>
    <s v="No"/>
    <s v="N"/>
    <s v="No"/>
    <m/>
    <s v="No"/>
    <n v="8"/>
    <x v="2"/>
    <x v="2"/>
  </r>
  <r>
    <s v="CMP-1145"/>
    <d v="2024-11-22T00:00:00"/>
    <d v="2024-11-25T00:00:00"/>
    <s v="Documentation error"/>
    <x v="1"/>
    <x v="3"/>
    <m/>
    <s v="No"/>
    <m/>
    <s v="No"/>
    <m/>
    <s v="No"/>
    <n v="3"/>
    <x v="4"/>
    <x v="4"/>
  </r>
  <r>
    <s v="CMP-1221"/>
    <d v="2024-11-23T00:00:00"/>
    <d v="2024-12-01T00:00:00"/>
    <s v="Policy update"/>
    <x v="0"/>
    <x v="4"/>
    <s v="no "/>
    <s v="No"/>
    <m/>
    <s v="No"/>
    <s v="Multiple follow-ups required"/>
    <s v="No"/>
    <n v="8"/>
    <x v="4"/>
    <x v="4"/>
  </r>
  <r>
    <s v="CMP-1098"/>
    <d v="2024-10-26T00:00:00"/>
    <d v="2024-11-09T00:00:00"/>
    <s v="Policy Update "/>
    <x v="0"/>
    <x v="0"/>
    <m/>
    <s v="No"/>
    <s v="Y"/>
    <s v="Yes"/>
    <s v="Issue not resolved"/>
    <s v="No"/>
    <n v="14"/>
    <x v="3"/>
    <x v="3"/>
  </r>
  <r>
    <s v="CMP-1104"/>
    <d v="2025-01-05T00:00:00"/>
    <d v="2025-01-08T00:00:00"/>
    <s v="billing Issue"/>
    <x v="3"/>
    <x v="0"/>
    <s v="N"/>
    <s v="No"/>
    <s v="No"/>
    <s v="No"/>
    <s v="Issue not resolved"/>
    <s v="No"/>
    <n v="3"/>
    <x v="5"/>
    <x v="5"/>
  </r>
  <r>
    <s v="CMP-1123"/>
    <d v="2025-04-13T00:00:00"/>
    <d v="2025-04-14T00:00:00"/>
    <s v="billing Issue"/>
    <x v="3"/>
    <x v="1"/>
    <s v="No"/>
    <s v="No"/>
    <m/>
    <s v="No"/>
    <s v="Customer unhappy with delay"/>
    <s v="No"/>
    <n v="1"/>
    <x v="1"/>
    <x v="1"/>
  </r>
  <r>
    <s v="CMP-1179"/>
    <d v="2025-02-16T00:00:00"/>
    <d v="2025-02-18T00:00:00"/>
    <s v="Service delay"/>
    <x v="2"/>
    <x v="3"/>
    <s v="N"/>
    <s v="No"/>
    <s v="Yes"/>
    <s v="Yes"/>
    <m/>
    <s v="No"/>
    <n v="2"/>
    <x v="6"/>
    <x v="6"/>
  </r>
  <r>
    <s v="CMP-1032"/>
    <d v="2025-04-11T00:00:00"/>
    <d v="2025-04-18T00:00:00"/>
    <s v="communication delay"/>
    <x v="5"/>
    <x v="4"/>
    <s v="no "/>
    <s v="No"/>
    <s v="Yes"/>
    <s v="Yes"/>
    <s v="Multiple follow-ups required"/>
    <s v="No"/>
    <n v="7"/>
    <x v="1"/>
    <x v="1"/>
  </r>
  <r>
    <s v="CMP-1019"/>
    <d v="2025-02-20T00:00:00"/>
    <d v="2025-03-03T00:00:00"/>
    <s v="billing Issue"/>
    <x v="3"/>
    <x v="1"/>
    <s v="no "/>
    <s v="No"/>
    <s v="Yes"/>
    <s v="Yes"/>
    <s v="Multiple follow-ups required"/>
    <s v="No"/>
    <n v="11"/>
    <x v="6"/>
    <x v="6"/>
  </r>
  <r>
    <s v="CMP-1186"/>
    <d v="2025-03-27T00:00:00"/>
    <m/>
    <s v="billing Issue"/>
    <x v="3"/>
    <x v="2"/>
    <s v="No"/>
    <s v="No"/>
    <s v="Yes"/>
    <s v="Yes"/>
    <m/>
    <s v="Yes"/>
    <s v=""/>
    <x v="0"/>
    <x v="0"/>
  </r>
  <r>
    <s v="CMP-1053"/>
    <d v="2025-03-15T00:00:00"/>
    <d v="2025-03-31T00:00:00"/>
    <s v="doc error"/>
    <x v="4"/>
    <x v="1"/>
    <m/>
    <s v="No"/>
    <s v="Y"/>
    <s v="Yes"/>
    <s v="Issue not resolved"/>
    <s v="No"/>
    <n v="16"/>
    <x v="0"/>
    <x v="0"/>
  </r>
  <r>
    <s v="CMP-1238"/>
    <d v="2024-12-20T00:00:00"/>
    <d v="2024-12-30T00:00:00"/>
    <s v="communication delay"/>
    <x v="5"/>
    <x v="0"/>
    <s v="no "/>
    <s v="No"/>
    <s v="No"/>
    <s v="No"/>
    <s v="Issue not resolved"/>
    <s v="No"/>
    <n v="10"/>
    <x v="2"/>
    <x v="2"/>
  </r>
  <r>
    <s v="CMP-1185"/>
    <d v="2025-02-13T00:00:00"/>
    <m/>
    <s v="billing Issue"/>
    <x v="3"/>
    <x v="4"/>
    <s v="no "/>
    <s v="No"/>
    <m/>
    <s v="No"/>
    <s v="Multiple follow-ups required"/>
    <s v="Yes"/>
    <s v=""/>
    <x v="6"/>
    <x v="6"/>
  </r>
  <r>
    <s v="CMP-1213"/>
    <d v="2024-12-10T00:00:00"/>
    <d v="2024-12-25T00:00:00"/>
    <s v="communication delay"/>
    <x v="5"/>
    <x v="0"/>
    <s v="no "/>
    <s v="No"/>
    <m/>
    <s v="No"/>
    <m/>
    <s v="No"/>
    <n v="15"/>
    <x v="2"/>
    <x v="2"/>
  </r>
  <r>
    <s v="CMP-1236"/>
    <d v="2024-12-27T00:00:00"/>
    <d v="2025-01-13T00:00:00"/>
    <s v="Policy Update "/>
    <x v="0"/>
    <x v="0"/>
    <s v="N"/>
    <s v="No"/>
    <s v="Yes"/>
    <s v="Yes"/>
    <m/>
    <s v="No"/>
    <n v="17"/>
    <x v="2"/>
    <x v="2"/>
  </r>
  <r>
    <s v="CMP-1062"/>
    <d v="2024-11-13T00:00:00"/>
    <d v="2024-11-17T00:00:00"/>
    <s v="billing Issue"/>
    <x v="3"/>
    <x v="3"/>
    <s v="Yes"/>
    <s v="Yes"/>
    <m/>
    <s v="No"/>
    <s v="Multiple follow-ups required"/>
    <s v="No"/>
    <n v="4"/>
    <x v="4"/>
    <x v="4"/>
  </r>
  <r>
    <s v="CMP-1011"/>
    <d v="2025-01-09T00:00:00"/>
    <d v="2025-01-26T00:00:00"/>
    <s v="communication delay"/>
    <x v="5"/>
    <x v="4"/>
    <s v="Yes"/>
    <s v="Yes"/>
    <s v="Y"/>
    <s v="Yes"/>
    <m/>
    <s v="No"/>
    <n v="17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EF83D-8EEA-9841-B04B-37CF869B2691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1" firstHeaderRow="1" firstDataRow="1" firstDataCol="1"/>
  <pivotFields count="21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">
        <item x="3"/>
        <item x="4"/>
        <item x="2"/>
        <item x="5"/>
        <item x="6"/>
        <item x="0"/>
        <item x="1"/>
        <item t="default"/>
      </items>
    </pivotField>
    <pivotField axis="axisRow" numFmtId="166" showAll="0" sortType="ascending">
      <items count="8">
        <item x="3"/>
        <item x="4"/>
        <item x="2"/>
        <item x="5"/>
        <item x="6"/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x="4"/>
        <item sd="0" x="5"/>
        <item t="default"/>
      </items>
    </pivotField>
    <pivotField showAll="0" sortType="ascending">
      <items count="5">
        <item sd="0" x="0"/>
        <item sd="0" x="3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omplaint_id" fld="0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93ADE-19D2-4E4D-8959-98D28EF5F038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0" firstHeaderRow="1" firstDataRow="1" firstDataCol="1"/>
  <pivotFields count="21">
    <pivotField dataField="1" showAll="0"/>
    <pivotField numFmtId="14" showAll="0"/>
    <pivotField showAll="0"/>
    <pivotField showAll="0"/>
    <pivotField axis="axisRow" showAll="0" sortType="descending">
      <items count="7">
        <item x="3"/>
        <item x="5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">
        <item x="3"/>
        <item x="4"/>
        <item x="2"/>
        <item x="5"/>
        <item x="6"/>
        <item x="0"/>
        <item x="1"/>
        <item t="default"/>
      </items>
    </pivotField>
    <pivotField numFmtId="166" showAll="0">
      <items count="8">
        <item x="3"/>
        <item x="4"/>
        <item x="2"/>
        <item x="5"/>
        <item x="6"/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7">
    <i>
      <x/>
    </i>
    <i>
      <x v="1"/>
    </i>
    <i>
      <x v="4"/>
    </i>
    <i>
      <x v="2"/>
    </i>
    <i>
      <x v="3"/>
    </i>
    <i>
      <x v="5"/>
    </i>
    <i t="grand">
      <x/>
    </i>
  </rowItems>
  <colItems count="1">
    <i/>
  </colItems>
  <dataFields count="1">
    <dataField name="Count of complaint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6330A-793F-D04B-B4B6-5FEC6AC60F11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1">
    <pivotField dataField="1" showAll="0"/>
    <pivotField numFmtId="14" showAll="0"/>
    <pivotField showAll="0"/>
    <pivotField showAll="0"/>
    <pivotField showAll="0"/>
    <pivotField axis="axisRow" showAll="0">
      <items count="6">
        <item x="4"/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8">
        <item x="3"/>
        <item x="4"/>
        <item x="2"/>
        <item x="5"/>
        <item x="6"/>
        <item x="0"/>
        <item x="1"/>
        <item t="default"/>
      </items>
    </pivotField>
    <pivotField numFmtId="166" showAll="0">
      <items count="8">
        <item x="3"/>
        <item x="4"/>
        <item x="2"/>
        <item x="5"/>
        <item x="6"/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mplaint_id" fld="0" subtotal="count" showDataAs="percentOfCol" baseField="0" baseItem="0" numFmtId="10"/>
  </dataFields>
  <formats count="1">
    <format dxfId="0">
      <pivotArea collapsedLevelsAreSubtotals="1" fieldPosition="0">
        <references count="1">
          <reference field="5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E0D0-C22C-6D43-9F86-DED72B3E88B2}">
  <dimension ref="A3:B11"/>
  <sheetViews>
    <sheetView workbookViewId="0">
      <selection activeCell="A3" sqref="A3:B11"/>
    </sheetView>
  </sheetViews>
  <sheetFormatPr baseColWidth="10" defaultRowHeight="15" x14ac:dyDescent="0.2"/>
  <cols>
    <col min="1" max="1" width="12.1640625" bestFit="1" customWidth="1"/>
    <col min="2" max="2" width="18.33203125" bestFit="1" customWidth="1"/>
  </cols>
  <sheetData>
    <row r="3" spans="1:2" x14ac:dyDescent="0.2">
      <c r="A3" s="1" t="s">
        <v>41</v>
      </c>
      <c r="B3" t="s">
        <v>40</v>
      </c>
    </row>
    <row r="4" spans="1:2" x14ac:dyDescent="0.2">
      <c r="A4" s="4">
        <v>45566</v>
      </c>
      <c r="B4">
        <v>69</v>
      </c>
    </row>
    <row r="5" spans="1:2" x14ac:dyDescent="0.2">
      <c r="A5" s="4">
        <v>45597</v>
      </c>
      <c r="B5">
        <v>79</v>
      </c>
    </row>
    <row r="6" spans="1:2" x14ac:dyDescent="0.2">
      <c r="A6" s="4">
        <v>45627</v>
      </c>
      <c r="B6">
        <v>68</v>
      </c>
    </row>
    <row r="7" spans="1:2" x14ac:dyDescent="0.2">
      <c r="A7" s="4">
        <v>45658</v>
      </c>
      <c r="B7">
        <v>78</v>
      </c>
    </row>
    <row r="8" spans="1:2" x14ac:dyDescent="0.2">
      <c r="A8" s="4">
        <v>45689</v>
      </c>
      <c r="B8">
        <v>77</v>
      </c>
    </row>
    <row r="9" spans="1:2" x14ac:dyDescent="0.2">
      <c r="A9" s="4">
        <v>45717</v>
      </c>
      <c r="B9">
        <v>78</v>
      </c>
    </row>
    <row r="10" spans="1:2" x14ac:dyDescent="0.2">
      <c r="A10" s="4">
        <v>45748</v>
      </c>
      <c r="B10">
        <v>51</v>
      </c>
    </row>
    <row r="11" spans="1:2" x14ac:dyDescent="0.2">
      <c r="A11" s="4" t="s">
        <v>42</v>
      </c>
      <c r="B11">
        <v>500</v>
      </c>
    </row>
  </sheetData>
  <sortState xmlns:xlrd2="http://schemas.microsoft.com/office/spreadsheetml/2017/richdata2" ref="A3:B11">
    <sortCondition ref="A5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F974-AA34-8A4E-B570-60BA1D76C1FD}">
  <dimension ref="A3:B10"/>
  <sheetViews>
    <sheetView workbookViewId="0">
      <selection activeCell="A5" sqref="A3:B10"/>
    </sheetView>
  </sheetViews>
  <sheetFormatPr baseColWidth="10" defaultRowHeight="15" x14ac:dyDescent="0.2"/>
  <cols>
    <col min="1" max="1" width="20.1640625" bestFit="1" customWidth="1"/>
    <col min="2" max="2" width="18.33203125" bestFit="1" customWidth="1"/>
  </cols>
  <sheetData>
    <row r="3" spans="1:2" x14ac:dyDescent="0.2">
      <c r="A3" s="1" t="s">
        <v>41</v>
      </c>
      <c r="B3" t="s">
        <v>40</v>
      </c>
    </row>
    <row r="4" spans="1:2" x14ac:dyDescent="0.2">
      <c r="A4" s="2" t="s">
        <v>11</v>
      </c>
      <c r="B4">
        <v>145</v>
      </c>
    </row>
    <row r="5" spans="1:2" x14ac:dyDescent="0.2">
      <c r="A5" s="2" t="s">
        <v>44</v>
      </c>
      <c r="B5">
        <v>104</v>
      </c>
    </row>
    <row r="6" spans="1:2" x14ac:dyDescent="0.2">
      <c r="A6" s="2" t="s">
        <v>47</v>
      </c>
      <c r="B6">
        <v>94</v>
      </c>
    </row>
    <row r="7" spans="1:2" x14ac:dyDescent="0.2">
      <c r="A7" s="2" t="s">
        <v>45</v>
      </c>
      <c r="B7">
        <v>56</v>
      </c>
    </row>
    <row r="8" spans="1:2" x14ac:dyDescent="0.2">
      <c r="A8" s="2" t="s">
        <v>46</v>
      </c>
      <c r="B8">
        <v>53</v>
      </c>
    </row>
    <row r="9" spans="1:2" x14ac:dyDescent="0.2">
      <c r="A9" s="2" t="s">
        <v>48</v>
      </c>
      <c r="B9">
        <v>48</v>
      </c>
    </row>
    <row r="10" spans="1:2" x14ac:dyDescent="0.2">
      <c r="A10" s="2" t="s">
        <v>42</v>
      </c>
      <c r="B10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E6FD-C4BB-C54E-B11E-6CB75285C81A}">
  <dimension ref="A3:B8"/>
  <sheetViews>
    <sheetView workbookViewId="0">
      <selection activeCell="L11" sqref="L11"/>
    </sheetView>
  </sheetViews>
  <sheetFormatPr baseColWidth="10" defaultRowHeight="15" x14ac:dyDescent="0.2"/>
  <cols>
    <col min="1" max="1" width="13.1640625" bestFit="1" customWidth="1"/>
    <col min="2" max="2" width="18.33203125" bestFit="1" customWidth="1"/>
  </cols>
  <sheetData>
    <row r="3" spans="1:2" x14ac:dyDescent="0.2">
      <c r="A3" s="1" t="s">
        <v>41</v>
      </c>
      <c r="B3" t="s">
        <v>40</v>
      </c>
    </row>
    <row r="4" spans="1:2" x14ac:dyDescent="0.2">
      <c r="A4" s="2" t="s">
        <v>12</v>
      </c>
      <c r="B4" s="5">
        <v>0.23142857142857143</v>
      </c>
    </row>
    <row r="5" spans="1:2" x14ac:dyDescent="0.2">
      <c r="A5" s="2" t="s">
        <v>8</v>
      </c>
      <c r="B5" s="5">
        <v>0.21428571428571427</v>
      </c>
    </row>
    <row r="6" spans="1:2" x14ac:dyDescent="0.2">
      <c r="A6" s="2" t="s">
        <v>9</v>
      </c>
      <c r="B6" s="5">
        <v>0.26</v>
      </c>
    </row>
    <row r="7" spans="1:2" x14ac:dyDescent="0.2">
      <c r="A7" s="2" t="s">
        <v>10</v>
      </c>
      <c r="B7" s="5">
        <v>0.29428571428571426</v>
      </c>
    </row>
    <row r="8" spans="1:2" x14ac:dyDescent="0.2">
      <c r="A8" s="2" t="s">
        <v>42</v>
      </c>
      <c r="B8" s="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72CE-0AE9-A545-8A47-C1A56DDF2F9C}">
  <dimension ref="A1:F34"/>
  <sheetViews>
    <sheetView showGridLines="0" tabSelected="1" zoomScale="140" zoomScaleNormal="140" workbookViewId="0">
      <selection activeCell="G24" sqref="G24"/>
    </sheetView>
  </sheetViews>
  <sheetFormatPr baseColWidth="10" defaultRowHeight="15" x14ac:dyDescent="0.2"/>
  <cols>
    <col min="1" max="1" width="42.6640625" customWidth="1"/>
    <col min="2" max="2" width="17.83203125" bestFit="1" customWidth="1"/>
    <col min="3" max="3" width="18.1640625" bestFit="1" customWidth="1"/>
    <col min="4" max="4" width="28.5" bestFit="1" customWidth="1"/>
    <col min="5" max="5" width="19" bestFit="1" customWidth="1"/>
    <col min="6" max="6" width="26.83203125" customWidth="1"/>
  </cols>
  <sheetData>
    <row r="1" spans="1:6" ht="44" customHeight="1" x14ac:dyDescent="0.2">
      <c r="A1" s="22" t="s">
        <v>49</v>
      </c>
      <c r="B1" s="10" t="s">
        <v>34</v>
      </c>
      <c r="C1" s="10" t="s">
        <v>35</v>
      </c>
      <c r="D1" s="10" t="s">
        <v>43</v>
      </c>
      <c r="E1" s="10" t="s">
        <v>38</v>
      </c>
      <c r="F1" s="11" t="s">
        <v>39</v>
      </c>
    </row>
    <row r="2" spans="1:6" ht="19" x14ac:dyDescent="0.2">
      <c r="A2" s="23"/>
      <c r="B2" s="6">
        <v>500</v>
      </c>
      <c r="C2" s="6">
        <v>68</v>
      </c>
      <c r="D2" s="7">
        <v>10.564814814814815</v>
      </c>
      <c r="E2" s="8">
        <v>0.40600000000000003</v>
      </c>
      <c r="F2" s="12">
        <v>0.35199999999999998</v>
      </c>
    </row>
    <row r="3" spans="1:6" x14ac:dyDescent="0.2">
      <c r="A3" s="13"/>
      <c r="B3" s="9"/>
      <c r="C3" s="9"/>
      <c r="D3" s="9"/>
      <c r="E3" s="9"/>
      <c r="F3" s="14"/>
    </row>
    <row r="4" spans="1:6" x14ac:dyDescent="0.2">
      <c r="A4" s="13"/>
      <c r="B4" s="9"/>
      <c r="C4" s="9"/>
      <c r="D4" s="9"/>
      <c r="E4" s="9"/>
      <c r="F4" s="14"/>
    </row>
    <row r="5" spans="1:6" x14ac:dyDescent="0.2">
      <c r="A5" s="13"/>
      <c r="B5" s="9"/>
      <c r="C5" s="9"/>
      <c r="D5" s="9"/>
      <c r="E5" s="9"/>
      <c r="F5" s="14"/>
    </row>
    <row r="6" spans="1:6" x14ac:dyDescent="0.2">
      <c r="A6" s="13"/>
      <c r="B6" s="9"/>
      <c r="C6" s="9"/>
      <c r="D6" s="9"/>
      <c r="E6" s="9"/>
      <c r="F6" s="14"/>
    </row>
    <row r="7" spans="1:6" x14ac:dyDescent="0.2">
      <c r="A7" s="13"/>
      <c r="B7" s="9"/>
      <c r="C7" s="9"/>
      <c r="D7" s="9"/>
      <c r="E7" s="9"/>
      <c r="F7" s="14"/>
    </row>
    <row r="8" spans="1:6" x14ac:dyDescent="0.2">
      <c r="A8" s="13"/>
      <c r="B8" s="9"/>
      <c r="C8" s="9"/>
      <c r="D8" s="9"/>
      <c r="E8" s="9"/>
      <c r="F8" s="14"/>
    </row>
    <row r="9" spans="1:6" x14ac:dyDescent="0.2">
      <c r="A9" s="13"/>
      <c r="B9" s="9"/>
      <c r="C9" s="9"/>
      <c r="D9" s="9"/>
      <c r="E9" s="9"/>
      <c r="F9" s="14"/>
    </row>
    <row r="10" spans="1:6" x14ac:dyDescent="0.2">
      <c r="A10" s="13"/>
      <c r="B10" s="9"/>
      <c r="C10" s="9"/>
      <c r="D10" s="9"/>
      <c r="E10" s="9"/>
      <c r="F10" s="14"/>
    </row>
    <row r="11" spans="1:6" x14ac:dyDescent="0.2">
      <c r="A11" s="13"/>
      <c r="B11" s="9"/>
      <c r="C11" s="9"/>
      <c r="D11" s="9"/>
      <c r="E11" s="9"/>
      <c r="F11" s="14"/>
    </row>
    <row r="12" spans="1:6" x14ac:dyDescent="0.2">
      <c r="A12" s="13"/>
      <c r="B12" s="9"/>
      <c r="C12" s="9"/>
      <c r="D12" s="9"/>
      <c r="E12" s="9"/>
      <c r="F12" s="14"/>
    </row>
    <row r="13" spans="1:6" x14ac:dyDescent="0.2">
      <c r="A13" s="13"/>
      <c r="B13" s="9"/>
      <c r="C13" s="9"/>
      <c r="D13" s="9"/>
      <c r="E13" s="9"/>
      <c r="F13" s="14"/>
    </row>
    <row r="14" spans="1:6" x14ac:dyDescent="0.2">
      <c r="A14" s="13"/>
      <c r="B14" s="9"/>
      <c r="C14" s="9"/>
      <c r="D14" s="9"/>
      <c r="E14" s="9"/>
      <c r="F14" s="14"/>
    </row>
    <row r="15" spans="1:6" x14ac:dyDescent="0.2">
      <c r="A15" s="13"/>
      <c r="B15" s="9"/>
      <c r="C15" s="9"/>
      <c r="D15" s="9"/>
      <c r="E15" s="9"/>
      <c r="F15" s="14"/>
    </row>
    <row r="16" spans="1:6" x14ac:dyDescent="0.2">
      <c r="A16" s="13"/>
      <c r="B16" s="9"/>
      <c r="C16" s="9"/>
      <c r="D16" s="9"/>
      <c r="E16" s="9"/>
      <c r="F16" s="14"/>
    </row>
    <row r="17" spans="1:6" x14ac:dyDescent="0.2">
      <c r="A17" s="13"/>
      <c r="B17" s="9"/>
      <c r="C17" s="9"/>
      <c r="D17" s="9"/>
      <c r="E17" s="9"/>
      <c r="F17" s="14"/>
    </row>
    <row r="18" spans="1:6" x14ac:dyDescent="0.2">
      <c r="A18" s="13"/>
      <c r="B18" s="9"/>
      <c r="C18" s="9"/>
      <c r="D18" s="9"/>
      <c r="E18" s="9"/>
      <c r="F18" s="14"/>
    </row>
    <row r="19" spans="1:6" x14ac:dyDescent="0.2">
      <c r="A19" s="13"/>
      <c r="B19" s="9"/>
      <c r="C19" s="9"/>
      <c r="D19" s="9"/>
      <c r="E19" s="9"/>
      <c r="F19" s="14"/>
    </row>
    <row r="20" spans="1:6" x14ac:dyDescent="0.2">
      <c r="A20" s="13"/>
      <c r="B20" s="9"/>
      <c r="C20" s="9"/>
      <c r="D20" s="9"/>
      <c r="E20" s="9"/>
      <c r="F20" s="14"/>
    </row>
    <row r="21" spans="1:6" x14ac:dyDescent="0.2">
      <c r="A21" s="13"/>
      <c r="B21" s="9"/>
      <c r="C21" s="9"/>
      <c r="D21" s="9"/>
      <c r="E21" s="9"/>
      <c r="F21" s="14"/>
    </row>
    <row r="22" spans="1:6" x14ac:dyDescent="0.2">
      <c r="A22" s="13"/>
      <c r="B22" s="9"/>
      <c r="C22" s="9"/>
      <c r="D22" s="9"/>
      <c r="E22" s="9"/>
      <c r="F22" s="14"/>
    </row>
    <row r="23" spans="1:6" x14ac:dyDescent="0.2">
      <c r="A23" s="13"/>
      <c r="B23" s="9"/>
      <c r="C23" s="9"/>
      <c r="D23" s="9"/>
      <c r="E23" s="9"/>
      <c r="F23" s="14"/>
    </row>
    <row r="24" spans="1:6" x14ac:dyDescent="0.2">
      <c r="A24" s="13"/>
      <c r="B24" s="9"/>
      <c r="C24" s="9"/>
      <c r="D24" s="9"/>
      <c r="E24" s="9"/>
      <c r="F24" s="14"/>
    </row>
    <row r="25" spans="1:6" x14ac:dyDescent="0.2">
      <c r="A25" s="13"/>
      <c r="B25" s="9"/>
      <c r="C25" s="9"/>
      <c r="D25" s="9"/>
      <c r="E25" s="9"/>
      <c r="F25" s="14"/>
    </row>
    <row r="26" spans="1:6" x14ac:dyDescent="0.2">
      <c r="A26" s="13"/>
      <c r="B26" s="9"/>
      <c r="C26" s="9"/>
      <c r="D26" s="9"/>
      <c r="E26" s="9"/>
      <c r="F26" s="14"/>
    </row>
    <row r="27" spans="1:6" x14ac:dyDescent="0.2">
      <c r="A27" s="13"/>
      <c r="B27" s="9"/>
      <c r="C27" s="9"/>
      <c r="D27" s="9"/>
      <c r="E27" s="9"/>
      <c r="F27" s="14"/>
    </row>
    <row r="28" spans="1:6" x14ac:dyDescent="0.2">
      <c r="A28" s="13"/>
      <c r="B28" s="9"/>
      <c r="C28" s="9"/>
      <c r="D28" s="9"/>
      <c r="E28" s="9"/>
      <c r="F28" s="14"/>
    </row>
    <row r="29" spans="1:6" x14ac:dyDescent="0.2">
      <c r="A29" s="13"/>
      <c r="B29" s="9"/>
      <c r="C29" s="9"/>
      <c r="D29" s="9"/>
      <c r="E29" s="9"/>
      <c r="F29" s="14"/>
    </row>
    <row r="30" spans="1:6" x14ac:dyDescent="0.2">
      <c r="A30" s="13"/>
      <c r="B30" s="9"/>
      <c r="C30" s="9"/>
      <c r="D30" s="9"/>
      <c r="E30" s="9"/>
      <c r="F30" s="14"/>
    </row>
    <row r="31" spans="1:6" x14ac:dyDescent="0.2">
      <c r="A31" s="13"/>
      <c r="B31" s="9"/>
      <c r="C31" s="9"/>
      <c r="D31" s="9"/>
      <c r="E31" s="9"/>
      <c r="F31" s="14"/>
    </row>
    <row r="32" spans="1:6" x14ac:dyDescent="0.2">
      <c r="A32" s="13"/>
      <c r="B32" s="9"/>
      <c r="C32" s="9"/>
      <c r="D32" s="9"/>
      <c r="E32" s="9"/>
      <c r="F32" s="14"/>
    </row>
    <row r="33" spans="1:6" x14ac:dyDescent="0.2">
      <c r="A33" s="13"/>
      <c r="B33" s="9"/>
      <c r="C33" s="9"/>
      <c r="D33" s="9"/>
      <c r="E33" s="9"/>
      <c r="F33" s="14"/>
    </row>
    <row r="34" spans="1:6" ht="16" thickBot="1" x14ac:dyDescent="0.25">
      <c r="A34" s="15"/>
      <c r="B34" s="16"/>
      <c r="C34" s="16"/>
      <c r="D34" s="16"/>
      <c r="E34" s="16"/>
      <c r="F34" s="17"/>
    </row>
  </sheetData>
  <mergeCells count="1">
    <mergeCell ref="A1:A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E918-FFF5-8B43-A7EF-BE787A7E811B}">
  <dimension ref="A1:C9"/>
  <sheetViews>
    <sheetView zoomScale="130" zoomScaleNormal="130" workbookViewId="0">
      <selection activeCell="C14" sqref="C14"/>
    </sheetView>
  </sheetViews>
  <sheetFormatPr baseColWidth="10" defaultRowHeight="15" x14ac:dyDescent="0.2"/>
  <cols>
    <col min="1" max="1" width="16.5" bestFit="1" customWidth="1"/>
    <col min="2" max="2" width="27.83203125" bestFit="1" customWidth="1"/>
    <col min="3" max="3" width="45.6640625" bestFit="1" customWidth="1"/>
  </cols>
  <sheetData>
    <row r="1" spans="1:3" ht="16" x14ac:dyDescent="0.2">
      <c r="A1" s="21" t="s">
        <v>13</v>
      </c>
      <c r="B1" s="21" t="s">
        <v>14</v>
      </c>
      <c r="C1" s="21" t="s">
        <v>15</v>
      </c>
    </row>
    <row r="2" spans="1:3" x14ac:dyDescent="0.2">
      <c r="A2" s="9" t="s">
        <v>0</v>
      </c>
      <c r="B2" s="9" t="s">
        <v>16</v>
      </c>
      <c r="C2" s="9" t="s">
        <v>17</v>
      </c>
    </row>
    <row r="3" spans="1:3" x14ac:dyDescent="0.2">
      <c r="A3" s="9" t="s">
        <v>1</v>
      </c>
      <c r="B3" s="9" t="s">
        <v>18</v>
      </c>
      <c r="C3" s="9" t="s">
        <v>19</v>
      </c>
    </row>
    <row r="4" spans="1:3" x14ac:dyDescent="0.2">
      <c r="A4" s="9" t="s">
        <v>2</v>
      </c>
      <c r="B4" s="9" t="s">
        <v>20</v>
      </c>
      <c r="C4" s="9" t="s">
        <v>21</v>
      </c>
    </row>
    <row r="5" spans="1:3" x14ac:dyDescent="0.2">
      <c r="A5" s="9" t="s">
        <v>3</v>
      </c>
      <c r="B5" s="9" t="s">
        <v>22</v>
      </c>
      <c r="C5" s="9" t="s">
        <v>23</v>
      </c>
    </row>
    <row r="6" spans="1:3" x14ac:dyDescent="0.2">
      <c r="A6" s="9" t="s">
        <v>4</v>
      </c>
      <c r="B6" s="9" t="s">
        <v>24</v>
      </c>
      <c r="C6" s="9" t="s">
        <v>25</v>
      </c>
    </row>
    <row r="7" spans="1:3" x14ac:dyDescent="0.2">
      <c r="A7" s="9" t="s">
        <v>5</v>
      </c>
      <c r="B7" s="9" t="s">
        <v>27</v>
      </c>
      <c r="C7" s="9" t="s">
        <v>26</v>
      </c>
    </row>
    <row r="8" spans="1:3" x14ac:dyDescent="0.2">
      <c r="A8" s="9" t="s">
        <v>6</v>
      </c>
      <c r="B8" s="9" t="s">
        <v>28</v>
      </c>
      <c r="C8" s="9" t="s">
        <v>29</v>
      </c>
    </row>
    <row r="9" spans="1:3" x14ac:dyDescent="0.2">
      <c r="A9" s="9" t="s">
        <v>7</v>
      </c>
      <c r="B9" s="9" t="s">
        <v>30</v>
      </c>
      <c r="C9" s="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4695-919C-AA45-B4E0-60394896BD5C}">
  <dimension ref="A1:B7"/>
  <sheetViews>
    <sheetView zoomScale="140" zoomScaleNormal="140" workbookViewId="0">
      <selection activeCell="C20" sqref="C20"/>
    </sheetView>
  </sheetViews>
  <sheetFormatPr baseColWidth="10" defaultRowHeight="15" x14ac:dyDescent="0.2"/>
  <cols>
    <col min="1" max="1" width="24.6640625" bestFit="1" customWidth="1"/>
    <col min="2" max="2" width="11.6640625" bestFit="1" customWidth="1"/>
  </cols>
  <sheetData>
    <row r="1" spans="1:2" x14ac:dyDescent="0.2">
      <c r="A1" s="20" t="s">
        <v>32</v>
      </c>
      <c r="B1" s="20" t="s">
        <v>33</v>
      </c>
    </row>
    <row r="2" spans="1:2" x14ac:dyDescent="0.2">
      <c r="A2" s="9" t="s">
        <v>34</v>
      </c>
      <c r="B2" s="9">
        <f>COUNTA([1]Cleaned_Data!A2:A501)</f>
        <v>500</v>
      </c>
    </row>
    <row r="3" spans="1:2" x14ac:dyDescent="0.2">
      <c r="A3" s="9" t="s">
        <v>35</v>
      </c>
      <c r="B3" s="9">
        <f>COUNTIF([1]Cleaned_Data!L:L,"Yes")</f>
        <v>68</v>
      </c>
    </row>
    <row r="4" spans="1:2" x14ac:dyDescent="0.2">
      <c r="A4" s="9" t="s">
        <v>36</v>
      </c>
      <c r="B4" s="9">
        <f>COUNTIF([1]Cleaned_Data!L:L,"No")</f>
        <v>432</v>
      </c>
    </row>
    <row r="5" spans="1:2" x14ac:dyDescent="0.2">
      <c r="A5" s="9" t="s">
        <v>37</v>
      </c>
      <c r="B5" s="18">
        <f>AVERAGE([1]Cleaned_Data!M:M)</f>
        <v>10.564814814814815</v>
      </c>
    </row>
    <row r="6" spans="1:2" x14ac:dyDescent="0.2">
      <c r="A6" s="9" t="s">
        <v>38</v>
      </c>
      <c r="B6" s="19">
        <f>COUNTIF([1]Cleaned_Data!H:H,"Yes") / COUNTA([1]Cleaned_Data!H:H)</f>
        <v>0.40518962075848303</v>
      </c>
    </row>
    <row r="7" spans="1:2" x14ac:dyDescent="0.2">
      <c r="A7" s="9" t="s">
        <v>39</v>
      </c>
      <c r="B7" s="19">
        <f>COUNTIF([1]Cleaned_Data!J:J,"Yes") / COUNTA([1]Cleaned_Data!J:J)</f>
        <v>0.35129740518962077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Sheet7</vt:lpstr>
      <vt:lpstr>Sheet8</vt:lpstr>
      <vt:lpstr>Sheet9</vt:lpstr>
      <vt:lpstr>Dashboard</vt:lpstr>
      <vt:lpstr>Data_Quality_Checks</vt:lpstr>
      <vt:lpstr>KPI_Calculations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 Surve</cp:lastModifiedBy>
  <dcterms:created xsi:type="dcterms:W3CDTF">2026-01-11T15:10:58Z</dcterms:created>
  <dcterms:modified xsi:type="dcterms:W3CDTF">2026-01-12T13:42:25Z</dcterms:modified>
</cp:coreProperties>
</file>