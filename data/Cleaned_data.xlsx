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urve/Desktop/Portfolio Projects/Insurance Complaints Process Improvement/Github/data/"/>
    </mc:Choice>
  </mc:AlternateContent>
  <xr:revisionPtr revIDLastSave="0" documentId="13_ncr:1_{87F61435-84AA-674A-9328-0C73C74457BE}" xr6:coauthVersionLast="47" xr6:coauthVersionMax="47" xr10:uidLastSave="{00000000-0000-0000-0000-000000000000}"/>
  <bookViews>
    <workbookView xWindow="780" yWindow="1100" windowWidth="27640" windowHeight="16160" activeTab="1" xr2:uid="{6DB2CC0A-5DF6-BE4F-BAD3-8394A2DD8FF8}"/>
  </bookViews>
  <sheets>
    <sheet name="Sheet1" sheetId="1" r:id="rId1"/>
    <sheet name="Cleaned_Data" sheetId="2" r:id="rId2"/>
  </sheets>
  <definedNames>
    <definedName name="_xlnm._FilterDatabase" localSheetId="1" hidden="1">Cleaned_Data!$A$1:$O$1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H2" i="2"/>
  <c r="J2" i="2"/>
  <c r="L2" i="2"/>
  <c r="M2" i="2"/>
  <c r="N2" i="2"/>
  <c r="O2" i="2"/>
  <c r="E3" i="2"/>
  <c r="H3" i="2"/>
  <c r="J3" i="2"/>
  <c r="L3" i="2"/>
  <c r="M3" i="2"/>
  <c r="N3" i="2"/>
  <c r="O3" i="2"/>
  <c r="E4" i="2"/>
  <c r="H4" i="2"/>
  <c r="J4" i="2"/>
  <c r="L4" i="2"/>
  <c r="M4" i="2"/>
  <c r="N4" i="2"/>
  <c r="O4" i="2"/>
  <c r="E5" i="2"/>
  <c r="H5" i="2"/>
  <c r="J5" i="2"/>
  <c r="L5" i="2"/>
  <c r="M5" i="2"/>
  <c r="N5" i="2"/>
  <c r="O5" i="2"/>
  <c r="E6" i="2"/>
  <c r="H6" i="2"/>
  <c r="J6" i="2"/>
  <c r="L6" i="2"/>
  <c r="M6" i="2"/>
  <c r="N6" i="2"/>
  <c r="O6" i="2"/>
  <c r="E7" i="2"/>
  <c r="H7" i="2"/>
  <c r="J7" i="2"/>
  <c r="L7" i="2"/>
  <c r="M7" i="2"/>
  <c r="N7" i="2"/>
  <c r="O7" i="2"/>
  <c r="E8" i="2"/>
  <c r="H8" i="2"/>
  <c r="J8" i="2"/>
  <c r="L8" i="2"/>
  <c r="M8" i="2"/>
  <c r="N8" i="2"/>
  <c r="O8" i="2"/>
  <c r="E9" i="2"/>
  <c r="H9" i="2"/>
  <c r="J9" i="2"/>
  <c r="L9" i="2"/>
  <c r="M9" i="2"/>
  <c r="N9" i="2"/>
  <c r="O9" i="2"/>
  <c r="E10" i="2"/>
  <c r="H10" i="2"/>
  <c r="J10" i="2"/>
  <c r="L10" i="2"/>
  <c r="M10" i="2"/>
  <c r="N10" i="2"/>
  <c r="O10" i="2"/>
  <c r="E11" i="2"/>
  <c r="H11" i="2"/>
  <c r="J11" i="2"/>
  <c r="L11" i="2"/>
  <c r="M11" i="2"/>
  <c r="N11" i="2"/>
  <c r="O11" i="2"/>
  <c r="E12" i="2"/>
  <c r="H12" i="2"/>
  <c r="J12" i="2"/>
  <c r="L12" i="2"/>
  <c r="M12" i="2"/>
  <c r="N12" i="2"/>
  <c r="O12" i="2"/>
  <c r="E13" i="2"/>
  <c r="H13" i="2"/>
  <c r="J13" i="2"/>
  <c r="L13" i="2"/>
  <c r="M13" i="2"/>
  <c r="N13" i="2"/>
  <c r="O13" i="2"/>
  <c r="E14" i="2"/>
  <c r="H14" i="2"/>
  <c r="J14" i="2"/>
  <c r="L14" i="2"/>
  <c r="M14" i="2"/>
  <c r="N14" i="2"/>
  <c r="O14" i="2"/>
  <c r="E15" i="2"/>
  <c r="H15" i="2"/>
  <c r="J15" i="2"/>
  <c r="L15" i="2"/>
  <c r="M15" i="2"/>
  <c r="N15" i="2"/>
  <c r="O15" i="2"/>
  <c r="E16" i="2"/>
  <c r="H16" i="2"/>
  <c r="J16" i="2"/>
  <c r="L16" i="2"/>
  <c r="M16" i="2"/>
  <c r="N16" i="2"/>
  <c r="O16" i="2"/>
  <c r="E17" i="2"/>
  <c r="H17" i="2"/>
  <c r="J17" i="2"/>
  <c r="L17" i="2"/>
  <c r="M17" i="2"/>
  <c r="N17" i="2"/>
  <c r="O17" i="2"/>
  <c r="E18" i="2"/>
  <c r="H18" i="2"/>
  <c r="J18" i="2"/>
  <c r="L18" i="2"/>
  <c r="M18" i="2"/>
  <c r="N18" i="2"/>
  <c r="O18" i="2"/>
  <c r="E19" i="2"/>
  <c r="H19" i="2"/>
  <c r="J19" i="2"/>
  <c r="L19" i="2"/>
  <c r="M19" i="2"/>
  <c r="N19" i="2"/>
  <c r="O19" i="2"/>
  <c r="E20" i="2"/>
  <c r="H20" i="2"/>
  <c r="J20" i="2"/>
  <c r="L20" i="2"/>
  <c r="M20" i="2"/>
  <c r="N20" i="2"/>
  <c r="O20" i="2"/>
  <c r="E21" i="2"/>
  <c r="H21" i="2"/>
  <c r="J21" i="2"/>
  <c r="L21" i="2"/>
  <c r="M21" i="2"/>
  <c r="N21" i="2"/>
  <c r="O21" i="2"/>
  <c r="E22" i="2"/>
  <c r="H22" i="2"/>
  <c r="J22" i="2"/>
  <c r="L22" i="2"/>
  <c r="M22" i="2"/>
  <c r="N22" i="2"/>
  <c r="O22" i="2"/>
  <c r="E23" i="2"/>
  <c r="H23" i="2"/>
  <c r="J23" i="2"/>
  <c r="L23" i="2"/>
  <c r="M23" i="2"/>
  <c r="N23" i="2"/>
  <c r="O23" i="2"/>
  <c r="E24" i="2"/>
  <c r="H24" i="2"/>
  <c r="J24" i="2"/>
  <c r="L24" i="2"/>
  <c r="M24" i="2"/>
  <c r="N24" i="2"/>
  <c r="O24" i="2"/>
  <c r="E25" i="2"/>
  <c r="H25" i="2"/>
  <c r="J25" i="2"/>
  <c r="L25" i="2"/>
  <c r="M25" i="2"/>
  <c r="N25" i="2"/>
  <c r="O25" i="2"/>
  <c r="E26" i="2"/>
  <c r="H26" i="2"/>
  <c r="J26" i="2"/>
  <c r="L26" i="2"/>
  <c r="M26" i="2"/>
  <c r="N26" i="2"/>
  <c r="O26" i="2"/>
  <c r="E27" i="2"/>
  <c r="H27" i="2"/>
  <c r="J27" i="2"/>
  <c r="L27" i="2"/>
  <c r="M27" i="2"/>
  <c r="N27" i="2"/>
  <c r="O27" i="2"/>
  <c r="E28" i="2"/>
  <c r="H28" i="2"/>
  <c r="J28" i="2"/>
  <c r="L28" i="2"/>
  <c r="M28" i="2"/>
  <c r="N28" i="2"/>
  <c r="O28" i="2"/>
  <c r="E29" i="2"/>
  <c r="H29" i="2"/>
  <c r="J29" i="2"/>
  <c r="L29" i="2"/>
  <c r="M29" i="2"/>
  <c r="N29" i="2"/>
  <c r="O29" i="2"/>
  <c r="E30" i="2"/>
  <c r="H30" i="2"/>
  <c r="J30" i="2"/>
  <c r="L30" i="2"/>
  <c r="M30" i="2"/>
  <c r="N30" i="2"/>
  <c r="O30" i="2"/>
  <c r="E31" i="2"/>
  <c r="H31" i="2"/>
  <c r="J31" i="2"/>
  <c r="L31" i="2"/>
  <c r="M31" i="2"/>
  <c r="N31" i="2"/>
  <c r="O31" i="2"/>
  <c r="E32" i="2"/>
  <c r="H32" i="2"/>
  <c r="J32" i="2"/>
  <c r="L32" i="2"/>
  <c r="M32" i="2"/>
  <c r="N32" i="2"/>
  <c r="O32" i="2"/>
  <c r="E33" i="2"/>
  <c r="H33" i="2"/>
  <c r="J33" i="2"/>
  <c r="L33" i="2"/>
  <c r="M33" i="2"/>
  <c r="N33" i="2"/>
  <c r="O33" i="2"/>
  <c r="E34" i="2"/>
  <c r="H34" i="2"/>
  <c r="J34" i="2"/>
  <c r="L34" i="2"/>
  <c r="M34" i="2"/>
  <c r="N34" i="2"/>
  <c r="O34" i="2"/>
  <c r="E35" i="2"/>
  <c r="H35" i="2"/>
  <c r="J35" i="2"/>
  <c r="L35" i="2"/>
  <c r="M35" i="2"/>
  <c r="N35" i="2"/>
  <c r="O35" i="2"/>
  <c r="E36" i="2"/>
  <c r="H36" i="2"/>
  <c r="J36" i="2"/>
  <c r="L36" i="2"/>
  <c r="M36" i="2"/>
  <c r="N36" i="2"/>
  <c r="O36" i="2"/>
  <c r="E37" i="2"/>
  <c r="H37" i="2"/>
  <c r="J37" i="2"/>
  <c r="L37" i="2"/>
  <c r="M37" i="2"/>
  <c r="N37" i="2"/>
  <c r="O37" i="2"/>
  <c r="E38" i="2"/>
  <c r="H38" i="2"/>
  <c r="J38" i="2"/>
  <c r="L38" i="2"/>
  <c r="M38" i="2"/>
  <c r="N38" i="2"/>
  <c r="O38" i="2"/>
  <c r="E39" i="2"/>
  <c r="H39" i="2"/>
  <c r="J39" i="2"/>
  <c r="L39" i="2"/>
  <c r="M39" i="2"/>
  <c r="N39" i="2"/>
  <c r="O39" i="2"/>
  <c r="E40" i="2"/>
  <c r="H40" i="2"/>
  <c r="J40" i="2"/>
  <c r="L40" i="2"/>
  <c r="M40" i="2"/>
  <c r="N40" i="2"/>
  <c r="O40" i="2"/>
  <c r="E41" i="2"/>
  <c r="H41" i="2"/>
  <c r="J41" i="2"/>
  <c r="L41" i="2"/>
  <c r="M41" i="2"/>
  <c r="N41" i="2"/>
  <c r="O41" i="2"/>
  <c r="E42" i="2"/>
  <c r="H42" i="2"/>
  <c r="J42" i="2"/>
  <c r="L42" i="2"/>
  <c r="M42" i="2"/>
  <c r="N42" i="2"/>
  <c r="O42" i="2"/>
  <c r="E43" i="2"/>
  <c r="H43" i="2"/>
  <c r="J43" i="2"/>
  <c r="L43" i="2"/>
  <c r="M43" i="2"/>
  <c r="N43" i="2"/>
  <c r="O43" i="2"/>
  <c r="E44" i="2"/>
  <c r="H44" i="2"/>
  <c r="J44" i="2"/>
  <c r="L44" i="2"/>
  <c r="M44" i="2"/>
  <c r="N44" i="2"/>
  <c r="O44" i="2"/>
  <c r="E45" i="2"/>
  <c r="H45" i="2"/>
  <c r="J45" i="2"/>
  <c r="L45" i="2"/>
  <c r="M45" i="2"/>
  <c r="N45" i="2"/>
  <c r="O45" i="2"/>
  <c r="E46" i="2"/>
  <c r="H46" i="2"/>
  <c r="J46" i="2"/>
  <c r="L46" i="2"/>
  <c r="M46" i="2"/>
  <c r="N46" i="2"/>
  <c r="O46" i="2"/>
  <c r="E47" i="2"/>
  <c r="H47" i="2"/>
  <c r="J47" i="2"/>
  <c r="L47" i="2"/>
  <c r="M47" i="2"/>
  <c r="N47" i="2"/>
  <c r="O47" i="2"/>
  <c r="E48" i="2"/>
  <c r="H48" i="2"/>
  <c r="J48" i="2"/>
  <c r="L48" i="2"/>
  <c r="M48" i="2"/>
  <c r="N48" i="2"/>
  <c r="O48" i="2"/>
  <c r="E49" i="2"/>
  <c r="H49" i="2"/>
  <c r="J49" i="2"/>
  <c r="L49" i="2"/>
  <c r="M49" i="2"/>
  <c r="N49" i="2"/>
  <c r="O49" i="2"/>
  <c r="E50" i="2"/>
  <c r="H50" i="2"/>
  <c r="J50" i="2"/>
  <c r="L50" i="2"/>
  <c r="M50" i="2"/>
  <c r="N50" i="2"/>
  <c r="O50" i="2"/>
  <c r="E51" i="2"/>
  <c r="H51" i="2"/>
  <c r="J51" i="2"/>
  <c r="L51" i="2"/>
  <c r="M51" i="2"/>
  <c r="N51" i="2"/>
  <c r="O51" i="2"/>
  <c r="E52" i="2"/>
  <c r="H52" i="2"/>
  <c r="J52" i="2"/>
  <c r="L52" i="2"/>
  <c r="M52" i="2"/>
  <c r="N52" i="2"/>
  <c r="O52" i="2"/>
  <c r="E53" i="2"/>
  <c r="H53" i="2"/>
  <c r="J53" i="2"/>
  <c r="L53" i="2"/>
  <c r="M53" i="2"/>
  <c r="N53" i="2"/>
  <c r="O53" i="2"/>
  <c r="E54" i="2"/>
  <c r="H54" i="2"/>
  <c r="J54" i="2"/>
  <c r="L54" i="2"/>
  <c r="M54" i="2"/>
  <c r="N54" i="2"/>
  <c r="O54" i="2"/>
  <c r="E55" i="2"/>
  <c r="H55" i="2"/>
  <c r="J55" i="2"/>
  <c r="L55" i="2"/>
  <c r="M55" i="2"/>
  <c r="N55" i="2"/>
  <c r="O55" i="2"/>
  <c r="E56" i="2"/>
  <c r="H56" i="2"/>
  <c r="J56" i="2"/>
  <c r="L56" i="2"/>
  <c r="M56" i="2"/>
  <c r="N56" i="2"/>
  <c r="O56" i="2"/>
  <c r="E57" i="2"/>
  <c r="H57" i="2"/>
  <c r="J57" i="2"/>
  <c r="L57" i="2"/>
  <c r="M57" i="2"/>
  <c r="N57" i="2"/>
  <c r="O57" i="2"/>
  <c r="E58" i="2"/>
  <c r="H58" i="2"/>
  <c r="J58" i="2"/>
  <c r="L58" i="2"/>
  <c r="M58" i="2"/>
  <c r="N58" i="2"/>
  <c r="O58" i="2"/>
  <c r="E59" i="2"/>
  <c r="H59" i="2"/>
  <c r="J59" i="2"/>
  <c r="L59" i="2"/>
  <c r="M59" i="2"/>
  <c r="N59" i="2"/>
  <c r="O59" i="2"/>
  <c r="E60" i="2"/>
  <c r="H60" i="2"/>
  <c r="J60" i="2"/>
  <c r="L60" i="2"/>
  <c r="M60" i="2"/>
  <c r="N60" i="2"/>
  <c r="O60" i="2"/>
  <c r="E61" i="2"/>
  <c r="H61" i="2"/>
  <c r="J61" i="2"/>
  <c r="L61" i="2"/>
  <c r="M61" i="2"/>
  <c r="N61" i="2"/>
  <c r="O61" i="2"/>
  <c r="E62" i="2"/>
  <c r="H62" i="2"/>
  <c r="J62" i="2"/>
  <c r="L62" i="2"/>
  <c r="M62" i="2"/>
  <c r="N62" i="2"/>
  <c r="O62" i="2"/>
  <c r="E63" i="2"/>
  <c r="H63" i="2"/>
  <c r="J63" i="2"/>
  <c r="L63" i="2"/>
  <c r="M63" i="2"/>
  <c r="N63" i="2"/>
  <c r="O63" i="2"/>
  <c r="E64" i="2"/>
  <c r="H64" i="2"/>
  <c r="J64" i="2"/>
  <c r="L64" i="2"/>
  <c r="M64" i="2"/>
  <c r="N64" i="2"/>
  <c r="O64" i="2"/>
  <c r="E65" i="2"/>
  <c r="H65" i="2"/>
  <c r="J65" i="2"/>
  <c r="L65" i="2"/>
  <c r="M65" i="2"/>
  <c r="N65" i="2"/>
  <c r="O65" i="2"/>
  <c r="E66" i="2"/>
  <c r="H66" i="2"/>
  <c r="J66" i="2"/>
  <c r="L66" i="2"/>
  <c r="M66" i="2"/>
  <c r="N66" i="2"/>
  <c r="O66" i="2"/>
  <c r="E67" i="2"/>
  <c r="H67" i="2"/>
  <c r="J67" i="2"/>
  <c r="L67" i="2"/>
  <c r="M67" i="2"/>
  <c r="N67" i="2"/>
  <c r="O67" i="2"/>
  <c r="E68" i="2"/>
  <c r="H68" i="2"/>
  <c r="J68" i="2"/>
  <c r="L68" i="2"/>
  <c r="M68" i="2"/>
  <c r="N68" i="2"/>
  <c r="O68" i="2"/>
  <c r="E69" i="2"/>
  <c r="H69" i="2"/>
  <c r="J69" i="2"/>
  <c r="L69" i="2"/>
  <c r="M69" i="2"/>
  <c r="N69" i="2"/>
  <c r="O69" i="2"/>
  <c r="E70" i="2"/>
  <c r="H70" i="2"/>
  <c r="J70" i="2"/>
  <c r="L70" i="2"/>
  <c r="M70" i="2"/>
  <c r="N70" i="2"/>
  <c r="O70" i="2"/>
  <c r="E71" i="2"/>
  <c r="H71" i="2"/>
  <c r="J71" i="2"/>
  <c r="L71" i="2"/>
  <c r="M71" i="2"/>
  <c r="N71" i="2"/>
  <c r="O71" i="2"/>
  <c r="E72" i="2"/>
  <c r="H72" i="2"/>
  <c r="J72" i="2"/>
  <c r="L72" i="2"/>
  <c r="M72" i="2"/>
  <c r="N72" i="2"/>
  <c r="O72" i="2"/>
  <c r="E73" i="2"/>
  <c r="H73" i="2"/>
  <c r="J73" i="2"/>
  <c r="L73" i="2"/>
  <c r="M73" i="2"/>
  <c r="N73" i="2"/>
  <c r="O73" i="2"/>
  <c r="E74" i="2"/>
  <c r="H74" i="2"/>
  <c r="J74" i="2"/>
  <c r="L74" i="2"/>
  <c r="M74" i="2"/>
  <c r="N74" i="2"/>
  <c r="O74" i="2"/>
  <c r="E75" i="2"/>
  <c r="H75" i="2"/>
  <c r="J75" i="2"/>
  <c r="L75" i="2"/>
  <c r="M75" i="2"/>
  <c r="N75" i="2"/>
  <c r="O75" i="2"/>
  <c r="E76" i="2"/>
  <c r="H76" i="2"/>
  <c r="J76" i="2"/>
  <c r="L76" i="2"/>
  <c r="M76" i="2"/>
  <c r="N76" i="2"/>
  <c r="O76" i="2"/>
  <c r="E77" i="2"/>
  <c r="H77" i="2"/>
  <c r="J77" i="2"/>
  <c r="L77" i="2"/>
  <c r="M77" i="2"/>
  <c r="N77" i="2"/>
  <c r="O77" i="2"/>
  <c r="E78" i="2"/>
  <c r="H78" i="2"/>
  <c r="J78" i="2"/>
  <c r="L78" i="2"/>
  <c r="M78" i="2"/>
  <c r="N78" i="2"/>
  <c r="O78" i="2"/>
  <c r="E79" i="2"/>
  <c r="H79" i="2"/>
  <c r="J79" i="2"/>
  <c r="L79" i="2"/>
  <c r="M79" i="2"/>
  <c r="N79" i="2"/>
  <c r="O79" i="2"/>
  <c r="E80" i="2"/>
  <c r="H80" i="2"/>
  <c r="J80" i="2"/>
  <c r="L80" i="2"/>
  <c r="M80" i="2"/>
  <c r="N80" i="2"/>
  <c r="O80" i="2"/>
  <c r="E81" i="2"/>
  <c r="H81" i="2"/>
  <c r="J81" i="2"/>
  <c r="L81" i="2"/>
  <c r="M81" i="2"/>
  <c r="N81" i="2"/>
  <c r="O81" i="2"/>
  <c r="E82" i="2"/>
  <c r="H82" i="2"/>
  <c r="J82" i="2"/>
  <c r="L82" i="2"/>
  <c r="M82" i="2"/>
  <c r="N82" i="2"/>
  <c r="O82" i="2"/>
  <c r="E83" i="2"/>
  <c r="H83" i="2"/>
  <c r="J83" i="2"/>
  <c r="L83" i="2"/>
  <c r="M83" i="2"/>
  <c r="N83" i="2"/>
  <c r="O83" i="2"/>
  <c r="E84" i="2"/>
  <c r="H84" i="2"/>
  <c r="J84" i="2"/>
  <c r="L84" i="2"/>
  <c r="M84" i="2"/>
  <c r="N84" i="2"/>
  <c r="O84" i="2"/>
  <c r="E85" i="2"/>
  <c r="H85" i="2"/>
  <c r="J85" i="2"/>
  <c r="L85" i="2"/>
  <c r="M85" i="2"/>
  <c r="N85" i="2"/>
  <c r="O85" i="2"/>
  <c r="E86" i="2"/>
  <c r="H86" i="2"/>
  <c r="J86" i="2"/>
  <c r="L86" i="2"/>
  <c r="M86" i="2"/>
  <c r="N86" i="2"/>
  <c r="O86" i="2"/>
  <c r="E87" i="2"/>
  <c r="H87" i="2"/>
  <c r="J87" i="2"/>
  <c r="L87" i="2"/>
  <c r="M87" i="2"/>
  <c r="N87" i="2"/>
  <c r="O87" i="2"/>
  <c r="E88" i="2"/>
  <c r="H88" i="2"/>
  <c r="J88" i="2"/>
  <c r="L88" i="2"/>
  <c r="M88" i="2"/>
  <c r="N88" i="2"/>
  <c r="O88" i="2"/>
  <c r="E89" i="2"/>
  <c r="H89" i="2"/>
  <c r="J89" i="2"/>
  <c r="L89" i="2"/>
  <c r="M89" i="2"/>
  <c r="N89" i="2"/>
  <c r="O89" i="2"/>
  <c r="E90" i="2"/>
  <c r="H90" i="2"/>
  <c r="J90" i="2"/>
  <c r="L90" i="2"/>
  <c r="M90" i="2"/>
  <c r="N90" i="2"/>
  <c r="O90" i="2"/>
  <c r="E91" i="2"/>
  <c r="H91" i="2"/>
  <c r="J91" i="2"/>
  <c r="L91" i="2"/>
  <c r="M91" i="2"/>
  <c r="N91" i="2"/>
  <c r="O91" i="2"/>
  <c r="E92" i="2"/>
  <c r="H92" i="2"/>
  <c r="J92" i="2"/>
  <c r="L92" i="2"/>
  <c r="M92" i="2"/>
  <c r="N92" i="2"/>
  <c r="O92" i="2"/>
  <c r="E93" i="2"/>
  <c r="H93" i="2"/>
  <c r="J93" i="2"/>
  <c r="L93" i="2"/>
  <c r="M93" i="2"/>
  <c r="N93" i="2"/>
  <c r="O93" i="2"/>
  <c r="E94" i="2"/>
  <c r="H94" i="2"/>
  <c r="J94" i="2"/>
  <c r="L94" i="2"/>
  <c r="M94" i="2"/>
  <c r="N94" i="2"/>
  <c r="O94" i="2"/>
  <c r="E95" i="2"/>
  <c r="H95" i="2"/>
  <c r="J95" i="2"/>
  <c r="L95" i="2"/>
  <c r="M95" i="2"/>
  <c r="N95" i="2"/>
  <c r="O95" i="2"/>
  <c r="E96" i="2"/>
  <c r="H96" i="2"/>
  <c r="J96" i="2"/>
  <c r="L96" i="2"/>
  <c r="M96" i="2"/>
  <c r="N96" i="2"/>
  <c r="O96" i="2"/>
  <c r="E97" i="2"/>
  <c r="H97" i="2"/>
  <c r="J97" i="2"/>
  <c r="L97" i="2"/>
  <c r="M97" i="2"/>
  <c r="N97" i="2"/>
  <c r="O97" i="2"/>
  <c r="E98" i="2"/>
  <c r="H98" i="2"/>
  <c r="J98" i="2"/>
  <c r="L98" i="2"/>
  <c r="M98" i="2"/>
  <c r="N98" i="2"/>
  <c r="O98" i="2"/>
  <c r="E99" i="2"/>
  <c r="H99" i="2"/>
  <c r="J99" i="2"/>
  <c r="L99" i="2"/>
  <c r="M99" i="2"/>
  <c r="N99" i="2"/>
  <c r="O99" i="2"/>
  <c r="E100" i="2"/>
  <c r="H100" i="2"/>
  <c r="J100" i="2"/>
  <c r="L100" i="2"/>
  <c r="M100" i="2"/>
  <c r="N100" i="2"/>
  <c r="O100" i="2"/>
  <c r="E101" i="2"/>
  <c r="H101" i="2"/>
  <c r="J101" i="2"/>
  <c r="L101" i="2"/>
  <c r="M101" i="2"/>
  <c r="N101" i="2"/>
  <c r="O101" i="2"/>
  <c r="E102" i="2"/>
  <c r="H102" i="2"/>
  <c r="J102" i="2"/>
  <c r="L102" i="2"/>
  <c r="M102" i="2"/>
  <c r="N102" i="2"/>
  <c r="O102" i="2"/>
  <c r="E103" i="2"/>
  <c r="H103" i="2"/>
  <c r="J103" i="2"/>
  <c r="L103" i="2"/>
  <c r="M103" i="2"/>
  <c r="N103" i="2"/>
  <c r="O103" i="2"/>
  <c r="E104" i="2"/>
  <c r="H104" i="2"/>
  <c r="J104" i="2"/>
  <c r="L104" i="2"/>
  <c r="M104" i="2"/>
  <c r="N104" i="2"/>
  <c r="O104" i="2"/>
  <c r="E105" i="2"/>
  <c r="H105" i="2"/>
  <c r="J105" i="2"/>
  <c r="L105" i="2"/>
  <c r="M105" i="2"/>
  <c r="N105" i="2"/>
  <c r="O105" i="2"/>
  <c r="E106" i="2"/>
  <c r="H106" i="2"/>
  <c r="J106" i="2"/>
  <c r="L106" i="2"/>
  <c r="M106" i="2"/>
  <c r="N106" i="2"/>
  <c r="O106" i="2"/>
  <c r="E107" i="2"/>
  <c r="H107" i="2"/>
  <c r="J107" i="2"/>
  <c r="L107" i="2"/>
  <c r="M107" i="2"/>
  <c r="N107" i="2"/>
  <c r="O107" i="2"/>
  <c r="E108" i="2"/>
  <c r="H108" i="2"/>
  <c r="J108" i="2"/>
  <c r="L108" i="2"/>
  <c r="M108" i="2"/>
  <c r="N108" i="2"/>
  <c r="O108" i="2"/>
  <c r="E109" i="2"/>
  <c r="H109" i="2"/>
  <c r="J109" i="2"/>
  <c r="L109" i="2"/>
  <c r="M109" i="2"/>
  <c r="N109" i="2"/>
  <c r="O109" i="2"/>
  <c r="E110" i="2"/>
  <c r="H110" i="2"/>
  <c r="J110" i="2"/>
  <c r="L110" i="2"/>
  <c r="M110" i="2"/>
  <c r="N110" i="2"/>
  <c r="O110" i="2"/>
  <c r="E111" i="2"/>
  <c r="H111" i="2"/>
  <c r="J111" i="2"/>
  <c r="L111" i="2"/>
  <c r="M111" i="2"/>
  <c r="N111" i="2"/>
  <c r="O111" i="2"/>
  <c r="E112" i="2"/>
  <c r="H112" i="2"/>
  <c r="J112" i="2"/>
  <c r="L112" i="2"/>
  <c r="M112" i="2"/>
  <c r="N112" i="2"/>
  <c r="O112" i="2"/>
  <c r="E113" i="2"/>
  <c r="H113" i="2"/>
  <c r="J113" i="2"/>
  <c r="L113" i="2"/>
  <c r="M113" i="2"/>
  <c r="N113" i="2"/>
  <c r="O113" i="2"/>
  <c r="E114" i="2"/>
  <c r="H114" i="2"/>
  <c r="J114" i="2"/>
  <c r="L114" i="2"/>
  <c r="M114" i="2"/>
  <c r="N114" i="2"/>
  <c r="O114" i="2"/>
  <c r="E115" i="2"/>
  <c r="H115" i="2"/>
  <c r="J115" i="2"/>
  <c r="L115" i="2"/>
  <c r="M115" i="2"/>
  <c r="N115" i="2"/>
  <c r="O115" i="2"/>
  <c r="E116" i="2"/>
  <c r="H116" i="2"/>
  <c r="J116" i="2"/>
  <c r="L116" i="2"/>
  <c r="M116" i="2"/>
  <c r="N116" i="2"/>
  <c r="O116" i="2"/>
  <c r="E117" i="2"/>
  <c r="H117" i="2"/>
  <c r="J117" i="2"/>
  <c r="L117" i="2"/>
  <c r="M117" i="2"/>
  <c r="N117" i="2"/>
  <c r="O117" i="2"/>
  <c r="E118" i="2"/>
  <c r="H118" i="2"/>
  <c r="J118" i="2"/>
  <c r="L118" i="2"/>
  <c r="M118" i="2"/>
  <c r="N118" i="2"/>
  <c r="O118" i="2"/>
  <c r="E119" i="2"/>
  <c r="H119" i="2"/>
  <c r="J119" i="2"/>
  <c r="L119" i="2"/>
  <c r="M119" i="2"/>
  <c r="N119" i="2"/>
  <c r="O119" i="2"/>
  <c r="E120" i="2"/>
  <c r="H120" i="2"/>
  <c r="J120" i="2"/>
  <c r="L120" i="2"/>
  <c r="M120" i="2"/>
  <c r="N120" i="2"/>
  <c r="O120" i="2"/>
  <c r="E121" i="2"/>
  <c r="H121" i="2"/>
  <c r="J121" i="2"/>
  <c r="L121" i="2"/>
  <c r="M121" i="2"/>
  <c r="N121" i="2"/>
  <c r="O121" i="2"/>
  <c r="E122" i="2"/>
  <c r="H122" i="2"/>
  <c r="J122" i="2"/>
  <c r="L122" i="2"/>
  <c r="M122" i="2"/>
  <c r="N122" i="2"/>
  <c r="O122" i="2"/>
  <c r="E123" i="2"/>
  <c r="H123" i="2"/>
  <c r="J123" i="2"/>
  <c r="L123" i="2"/>
  <c r="M123" i="2"/>
  <c r="N123" i="2"/>
  <c r="O123" i="2"/>
  <c r="E124" i="2"/>
  <c r="H124" i="2"/>
  <c r="J124" i="2"/>
  <c r="L124" i="2"/>
  <c r="M124" i="2"/>
  <c r="N124" i="2"/>
  <c r="O124" i="2"/>
  <c r="E125" i="2"/>
  <c r="H125" i="2"/>
  <c r="J125" i="2"/>
  <c r="L125" i="2"/>
  <c r="M125" i="2"/>
  <c r="N125" i="2"/>
  <c r="O125" i="2"/>
  <c r="E126" i="2"/>
  <c r="H126" i="2"/>
  <c r="J126" i="2"/>
  <c r="L126" i="2"/>
  <c r="M126" i="2"/>
  <c r="N126" i="2"/>
  <c r="O126" i="2"/>
  <c r="E127" i="2"/>
  <c r="H127" i="2"/>
  <c r="J127" i="2"/>
  <c r="L127" i="2"/>
  <c r="M127" i="2"/>
  <c r="N127" i="2"/>
  <c r="O127" i="2"/>
  <c r="E128" i="2"/>
  <c r="H128" i="2"/>
  <c r="J128" i="2"/>
  <c r="L128" i="2"/>
  <c r="M128" i="2"/>
  <c r="N128" i="2"/>
  <c r="O128" i="2"/>
  <c r="E129" i="2"/>
  <c r="H129" i="2"/>
  <c r="J129" i="2"/>
  <c r="L129" i="2"/>
  <c r="M129" i="2"/>
  <c r="N129" i="2"/>
  <c r="O129" i="2"/>
  <c r="E130" i="2"/>
  <c r="H130" i="2"/>
  <c r="J130" i="2"/>
  <c r="L130" i="2"/>
  <c r="M130" i="2"/>
  <c r="N130" i="2"/>
  <c r="O130" i="2"/>
  <c r="E131" i="2"/>
  <c r="H131" i="2"/>
  <c r="J131" i="2"/>
  <c r="L131" i="2"/>
  <c r="M131" i="2"/>
  <c r="N131" i="2"/>
  <c r="O131" i="2"/>
  <c r="E132" i="2"/>
  <c r="H132" i="2"/>
  <c r="J132" i="2"/>
  <c r="L132" i="2"/>
  <c r="M132" i="2"/>
  <c r="N132" i="2"/>
  <c r="O132" i="2"/>
  <c r="E133" i="2"/>
  <c r="H133" i="2"/>
  <c r="J133" i="2"/>
  <c r="L133" i="2"/>
  <c r="M133" i="2"/>
  <c r="N133" i="2"/>
  <c r="O133" i="2"/>
  <c r="E134" i="2"/>
  <c r="H134" i="2"/>
  <c r="J134" i="2"/>
  <c r="L134" i="2"/>
  <c r="M134" i="2"/>
  <c r="N134" i="2"/>
  <c r="O134" i="2"/>
  <c r="E135" i="2"/>
  <c r="H135" i="2"/>
  <c r="J135" i="2"/>
  <c r="L135" i="2"/>
  <c r="M135" i="2"/>
  <c r="N135" i="2"/>
  <c r="O135" i="2"/>
  <c r="E136" i="2"/>
  <c r="H136" i="2"/>
  <c r="J136" i="2"/>
  <c r="L136" i="2"/>
  <c r="M136" i="2"/>
  <c r="N136" i="2"/>
  <c r="O136" i="2"/>
  <c r="E137" i="2"/>
  <c r="H137" i="2"/>
  <c r="J137" i="2"/>
  <c r="L137" i="2"/>
  <c r="M137" i="2"/>
  <c r="N137" i="2"/>
  <c r="O137" i="2"/>
  <c r="E138" i="2"/>
  <c r="H138" i="2"/>
  <c r="J138" i="2"/>
  <c r="L138" i="2"/>
  <c r="M138" i="2"/>
  <c r="N138" i="2"/>
  <c r="O138" i="2"/>
  <c r="E139" i="2"/>
  <c r="H139" i="2"/>
  <c r="J139" i="2"/>
  <c r="L139" i="2"/>
  <c r="M139" i="2"/>
  <c r="N139" i="2"/>
  <c r="O139" i="2"/>
  <c r="E140" i="2"/>
  <c r="H140" i="2"/>
  <c r="J140" i="2"/>
  <c r="L140" i="2"/>
  <c r="M140" i="2"/>
  <c r="N140" i="2"/>
  <c r="O140" i="2"/>
  <c r="E141" i="2"/>
  <c r="H141" i="2"/>
  <c r="J141" i="2"/>
  <c r="L141" i="2"/>
  <c r="M141" i="2"/>
  <c r="N141" i="2"/>
  <c r="O141" i="2"/>
  <c r="E142" i="2"/>
  <c r="H142" i="2"/>
  <c r="J142" i="2"/>
  <c r="L142" i="2"/>
  <c r="M142" i="2"/>
  <c r="N142" i="2"/>
  <c r="O142" i="2"/>
  <c r="E143" i="2"/>
  <c r="H143" i="2"/>
  <c r="J143" i="2"/>
  <c r="L143" i="2"/>
  <c r="M143" i="2"/>
  <c r="N143" i="2"/>
  <c r="O143" i="2"/>
  <c r="E144" i="2"/>
  <c r="H144" i="2"/>
  <c r="J144" i="2"/>
  <c r="L144" i="2"/>
  <c r="M144" i="2"/>
  <c r="N144" i="2"/>
  <c r="O144" i="2"/>
  <c r="E145" i="2"/>
  <c r="H145" i="2"/>
  <c r="J145" i="2"/>
  <c r="L145" i="2"/>
  <c r="M145" i="2"/>
  <c r="N145" i="2"/>
  <c r="O145" i="2"/>
  <c r="E146" i="2"/>
  <c r="H146" i="2"/>
  <c r="J146" i="2"/>
  <c r="L146" i="2"/>
  <c r="M146" i="2"/>
  <c r="N146" i="2"/>
  <c r="O146" i="2"/>
  <c r="E147" i="2"/>
  <c r="H147" i="2"/>
  <c r="J147" i="2"/>
  <c r="L147" i="2"/>
  <c r="M147" i="2"/>
  <c r="N147" i="2"/>
  <c r="O147" i="2"/>
  <c r="E148" i="2"/>
  <c r="H148" i="2"/>
  <c r="J148" i="2"/>
  <c r="L148" i="2"/>
  <c r="M148" i="2"/>
  <c r="N148" i="2"/>
  <c r="O148" i="2"/>
  <c r="E149" i="2"/>
  <c r="H149" i="2"/>
  <c r="J149" i="2"/>
  <c r="L149" i="2"/>
  <c r="M149" i="2"/>
  <c r="N149" i="2"/>
  <c r="O149" i="2"/>
  <c r="E150" i="2"/>
  <c r="H150" i="2"/>
  <c r="J150" i="2"/>
  <c r="L150" i="2"/>
  <c r="M150" i="2"/>
  <c r="N150" i="2"/>
  <c r="O150" i="2"/>
  <c r="E151" i="2"/>
  <c r="H151" i="2"/>
  <c r="J151" i="2"/>
  <c r="L151" i="2"/>
  <c r="M151" i="2"/>
  <c r="N151" i="2"/>
  <c r="O151" i="2"/>
  <c r="E152" i="2"/>
  <c r="H152" i="2"/>
  <c r="J152" i="2"/>
  <c r="L152" i="2"/>
  <c r="M152" i="2"/>
  <c r="N152" i="2"/>
  <c r="O152" i="2"/>
  <c r="E153" i="2"/>
  <c r="H153" i="2"/>
  <c r="J153" i="2"/>
  <c r="L153" i="2"/>
  <c r="M153" i="2"/>
  <c r="N153" i="2"/>
  <c r="O153" i="2"/>
  <c r="E154" i="2"/>
  <c r="H154" i="2"/>
  <c r="J154" i="2"/>
  <c r="L154" i="2"/>
  <c r="M154" i="2"/>
  <c r="N154" i="2"/>
  <c r="O154" i="2"/>
  <c r="E155" i="2"/>
  <c r="H155" i="2"/>
  <c r="J155" i="2"/>
  <c r="L155" i="2"/>
  <c r="M155" i="2"/>
  <c r="N155" i="2"/>
  <c r="O155" i="2"/>
  <c r="E156" i="2"/>
  <c r="H156" i="2"/>
  <c r="J156" i="2"/>
  <c r="L156" i="2"/>
  <c r="M156" i="2"/>
  <c r="N156" i="2"/>
  <c r="O156" i="2"/>
  <c r="E157" i="2"/>
  <c r="H157" i="2"/>
  <c r="J157" i="2"/>
  <c r="L157" i="2"/>
  <c r="M157" i="2"/>
  <c r="N157" i="2"/>
  <c r="O157" i="2"/>
  <c r="E158" i="2"/>
  <c r="H158" i="2"/>
  <c r="J158" i="2"/>
  <c r="L158" i="2"/>
  <c r="M158" i="2"/>
  <c r="N158" i="2"/>
  <c r="O158" i="2"/>
  <c r="E159" i="2"/>
  <c r="H159" i="2"/>
  <c r="J159" i="2"/>
  <c r="L159" i="2"/>
  <c r="M159" i="2"/>
  <c r="N159" i="2"/>
  <c r="O159" i="2"/>
  <c r="E160" i="2"/>
  <c r="H160" i="2"/>
  <c r="J160" i="2"/>
  <c r="L160" i="2"/>
  <c r="M160" i="2"/>
  <c r="N160" i="2"/>
  <c r="O160" i="2"/>
  <c r="E161" i="2"/>
  <c r="H161" i="2"/>
  <c r="J161" i="2"/>
  <c r="L161" i="2"/>
  <c r="M161" i="2"/>
  <c r="N161" i="2"/>
  <c r="O161" i="2"/>
  <c r="E162" i="2"/>
  <c r="H162" i="2"/>
  <c r="J162" i="2"/>
  <c r="L162" i="2"/>
  <c r="M162" i="2"/>
  <c r="N162" i="2"/>
  <c r="O162" i="2"/>
  <c r="E163" i="2"/>
  <c r="H163" i="2"/>
  <c r="J163" i="2"/>
  <c r="L163" i="2"/>
  <c r="M163" i="2"/>
  <c r="N163" i="2"/>
  <c r="O163" i="2"/>
  <c r="E164" i="2"/>
  <c r="H164" i="2"/>
  <c r="J164" i="2"/>
  <c r="L164" i="2"/>
  <c r="M164" i="2"/>
  <c r="N164" i="2"/>
  <c r="O164" i="2"/>
  <c r="E165" i="2"/>
  <c r="H165" i="2"/>
  <c r="J165" i="2"/>
  <c r="L165" i="2"/>
  <c r="M165" i="2"/>
  <c r="N165" i="2"/>
  <c r="O165" i="2"/>
  <c r="E166" i="2"/>
  <c r="H166" i="2"/>
  <c r="J166" i="2"/>
  <c r="L166" i="2"/>
  <c r="M166" i="2"/>
  <c r="N166" i="2"/>
  <c r="O166" i="2"/>
  <c r="E167" i="2"/>
  <c r="H167" i="2"/>
  <c r="J167" i="2"/>
  <c r="L167" i="2"/>
  <c r="M167" i="2"/>
  <c r="N167" i="2"/>
  <c r="O167" i="2"/>
  <c r="E168" i="2"/>
  <c r="H168" i="2"/>
  <c r="J168" i="2"/>
  <c r="L168" i="2"/>
  <c r="M168" i="2"/>
  <c r="N168" i="2"/>
  <c r="O168" i="2"/>
  <c r="E169" i="2"/>
  <c r="H169" i="2"/>
  <c r="J169" i="2"/>
  <c r="L169" i="2"/>
  <c r="M169" i="2"/>
  <c r="N169" i="2"/>
  <c r="O169" i="2"/>
  <c r="E170" i="2"/>
  <c r="H170" i="2"/>
  <c r="J170" i="2"/>
  <c r="L170" i="2"/>
  <c r="M170" i="2"/>
  <c r="N170" i="2"/>
  <c r="O170" i="2"/>
  <c r="E171" i="2"/>
  <c r="H171" i="2"/>
  <c r="J171" i="2"/>
  <c r="L171" i="2"/>
  <c r="M171" i="2"/>
  <c r="N171" i="2"/>
  <c r="O171" i="2"/>
  <c r="E172" i="2"/>
  <c r="H172" i="2"/>
  <c r="J172" i="2"/>
  <c r="L172" i="2"/>
  <c r="M172" i="2"/>
  <c r="N172" i="2"/>
  <c r="O172" i="2"/>
  <c r="E173" i="2"/>
  <c r="H173" i="2"/>
  <c r="J173" i="2"/>
  <c r="L173" i="2"/>
  <c r="M173" i="2"/>
  <c r="N173" i="2"/>
  <c r="O173" i="2"/>
  <c r="E174" i="2"/>
  <c r="H174" i="2"/>
  <c r="J174" i="2"/>
  <c r="L174" i="2"/>
  <c r="M174" i="2"/>
  <c r="N174" i="2"/>
  <c r="O174" i="2"/>
  <c r="E175" i="2"/>
  <c r="H175" i="2"/>
  <c r="J175" i="2"/>
  <c r="L175" i="2"/>
  <c r="M175" i="2"/>
  <c r="N175" i="2"/>
  <c r="O175" i="2"/>
  <c r="E176" i="2"/>
  <c r="H176" i="2"/>
  <c r="J176" i="2"/>
  <c r="L176" i="2"/>
  <c r="M176" i="2"/>
  <c r="N176" i="2"/>
  <c r="O176" i="2"/>
  <c r="E177" i="2"/>
  <c r="H177" i="2"/>
  <c r="J177" i="2"/>
  <c r="L177" i="2"/>
  <c r="M177" i="2"/>
  <c r="N177" i="2"/>
  <c r="O177" i="2"/>
  <c r="E178" i="2"/>
  <c r="H178" i="2"/>
  <c r="J178" i="2"/>
  <c r="L178" i="2"/>
  <c r="M178" i="2"/>
  <c r="N178" i="2"/>
  <c r="O178" i="2"/>
  <c r="E179" i="2"/>
  <c r="H179" i="2"/>
  <c r="J179" i="2"/>
  <c r="L179" i="2"/>
  <c r="M179" i="2"/>
  <c r="N179" i="2"/>
  <c r="O179" i="2"/>
  <c r="E180" i="2"/>
  <c r="H180" i="2"/>
  <c r="J180" i="2"/>
  <c r="L180" i="2"/>
  <c r="M180" i="2"/>
  <c r="N180" i="2"/>
  <c r="O180" i="2"/>
  <c r="E181" i="2"/>
  <c r="H181" i="2"/>
  <c r="J181" i="2"/>
  <c r="L181" i="2"/>
  <c r="M181" i="2"/>
  <c r="N181" i="2"/>
  <c r="O181" i="2"/>
  <c r="E182" i="2"/>
  <c r="H182" i="2"/>
  <c r="J182" i="2"/>
  <c r="L182" i="2"/>
  <c r="M182" i="2"/>
  <c r="N182" i="2"/>
  <c r="O182" i="2"/>
  <c r="E183" i="2"/>
  <c r="H183" i="2"/>
  <c r="J183" i="2"/>
  <c r="L183" i="2"/>
  <c r="M183" i="2"/>
  <c r="N183" i="2"/>
  <c r="O183" i="2"/>
  <c r="E184" i="2"/>
  <c r="H184" i="2"/>
  <c r="J184" i="2"/>
  <c r="L184" i="2"/>
  <c r="M184" i="2"/>
  <c r="N184" i="2"/>
  <c r="O184" i="2"/>
  <c r="E185" i="2"/>
  <c r="H185" i="2"/>
  <c r="J185" i="2"/>
  <c r="L185" i="2"/>
  <c r="M185" i="2"/>
  <c r="N185" i="2"/>
  <c r="O185" i="2"/>
  <c r="E186" i="2"/>
  <c r="H186" i="2"/>
  <c r="J186" i="2"/>
  <c r="L186" i="2"/>
  <c r="M186" i="2"/>
  <c r="N186" i="2"/>
  <c r="O186" i="2"/>
  <c r="E187" i="2"/>
  <c r="H187" i="2"/>
  <c r="J187" i="2"/>
  <c r="L187" i="2"/>
  <c r="M187" i="2"/>
  <c r="N187" i="2"/>
  <c r="O187" i="2"/>
  <c r="E188" i="2"/>
  <c r="H188" i="2"/>
  <c r="J188" i="2"/>
  <c r="L188" i="2"/>
  <c r="M188" i="2"/>
  <c r="N188" i="2"/>
  <c r="O188" i="2"/>
  <c r="E189" i="2"/>
  <c r="H189" i="2"/>
  <c r="J189" i="2"/>
  <c r="L189" i="2"/>
  <c r="M189" i="2"/>
  <c r="N189" i="2"/>
  <c r="O189" i="2"/>
  <c r="E190" i="2"/>
  <c r="H190" i="2"/>
  <c r="J190" i="2"/>
  <c r="L190" i="2"/>
  <c r="M190" i="2"/>
  <c r="N190" i="2"/>
  <c r="O190" i="2"/>
  <c r="E191" i="2"/>
  <c r="H191" i="2"/>
  <c r="J191" i="2"/>
  <c r="L191" i="2"/>
  <c r="M191" i="2"/>
  <c r="N191" i="2"/>
  <c r="O191" i="2"/>
  <c r="E192" i="2"/>
  <c r="H192" i="2"/>
  <c r="J192" i="2"/>
  <c r="L192" i="2"/>
  <c r="M192" i="2"/>
  <c r="N192" i="2"/>
  <c r="O192" i="2"/>
  <c r="E193" i="2"/>
  <c r="H193" i="2"/>
  <c r="J193" i="2"/>
  <c r="L193" i="2"/>
  <c r="M193" i="2"/>
  <c r="N193" i="2"/>
  <c r="O193" i="2"/>
  <c r="E194" i="2"/>
  <c r="H194" i="2"/>
  <c r="J194" i="2"/>
  <c r="L194" i="2"/>
  <c r="M194" i="2"/>
  <c r="N194" i="2"/>
  <c r="O194" i="2"/>
  <c r="E195" i="2"/>
  <c r="H195" i="2"/>
  <c r="J195" i="2"/>
  <c r="L195" i="2"/>
  <c r="M195" i="2"/>
  <c r="N195" i="2"/>
  <c r="O195" i="2"/>
  <c r="E196" i="2"/>
  <c r="H196" i="2"/>
  <c r="J196" i="2"/>
  <c r="L196" i="2"/>
  <c r="M196" i="2"/>
  <c r="N196" i="2"/>
  <c r="O196" i="2"/>
  <c r="E197" i="2"/>
  <c r="H197" i="2"/>
  <c r="J197" i="2"/>
  <c r="L197" i="2"/>
  <c r="M197" i="2"/>
  <c r="N197" i="2"/>
  <c r="O197" i="2"/>
  <c r="E198" i="2"/>
  <c r="H198" i="2"/>
  <c r="J198" i="2"/>
  <c r="L198" i="2"/>
  <c r="M198" i="2"/>
  <c r="N198" i="2"/>
  <c r="O198" i="2"/>
  <c r="E199" i="2"/>
  <c r="H199" i="2"/>
  <c r="J199" i="2"/>
  <c r="L199" i="2"/>
  <c r="M199" i="2"/>
  <c r="N199" i="2"/>
  <c r="O199" i="2"/>
  <c r="E200" i="2"/>
  <c r="H200" i="2"/>
  <c r="J200" i="2"/>
  <c r="L200" i="2"/>
  <c r="M200" i="2"/>
  <c r="N200" i="2"/>
  <c r="O200" i="2"/>
  <c r="E201" i="2"/>
  <c r="H201" i="2"/>
  <c r="J201" i="2"/>
  <c r="L201" i="2"/>
  <c r="M201" i="2"/>
  <c r="N201" i="2"/>
  <c r="O201" i="2"/>
  <c r="E202" i="2"/>
  <c r="H202" i="2"/>
  <c r="J202" i="2"/>
  <c r="L202" i="2"/>
  <c r="M202" i="2"/>
  <c r="N202" i="2"/>
  <c r="O202" i="2"/>
  <c r="E203" i="2"/>
  <c r="H203" i="2"/>
  <c r="J203" i="2"/>
  <c r="L203" i="2"/>
  <c r="M203" i="2"/>
  <c r="N203" i="2"/>
  <c r="O203" i="2"/>
  <c r="E204" i="2"/>
  <c r="H204" i="2"/>
  <c r="J204" i="2"/>
  <c r="L204" i="2"/>
  <c r="M204" i="2"/>
  <c r="N204" i="2"/>
  <c r="O204" i="2"/>
  <c r="E205" i="2"/>
  <c r="H205" i="2"/>
  <c r="J205" i="2"/>
  <c r="L205" i="2"/>
  <c r="M205" i="2"/>
  <c r="N205" i="2"/>
  <c r="O205" i="2"/>
  <c r="E206" i="2"/>
  <c r="H206" i="2"/>
  <c r="J206" i="2"/>
  <c r="L206" i="2"/>
  <c r="M206" i="2"/>
  <c r="N206" i="2"/>
  <c r="O206" i="2"/>
  <c r="E207" i="2"/>
  <c r="H207" i="2"/>
  <c r="J207" i="2"/>
  <c r="L207" i="2"/>
  <c r="M207" i="2"/>
  <c r="N207" i="2"/>
  <c r="O207" i="2"/>
  <c r="E208" i="2"/>
  <c r="H208" i="2"/>
  <c r="J208" i="2"/>
  <c r="L208" i="2"/>
  <c r="M208" i="2"/>
  <c r="N208" i="2"/>
  <c r="O208" i="2"/>
  <c r="E209" i="2"/>
  <c r="H209" i="2"/>
  <c r="J209" i="2"/>
  <c r="L209" i="2"/>
  <c r="M209" i="2"/>
  <c r="N209" i="2"/>
  <c r="O209" i="2"/>
  <c r="E210" i="2"/>
  <c r="H210" i="2"/>
  <c r="J210" i="2"/>
  <c r="L210" i="2"/>
  <c r="M210" i="2"/>
  <c r="N210" i="2"/>
  <c r="O210" i="2"/>
  <c r="E211" i="2"/>
  <c r="H211" i="2"/>
  <c r="J211" i="2"/>
  <c r="L211" i="2"/>
  <c r="M211" i="2"/>
  <c r="N211" i="2"/>
  <c r="O211" i="2"/>
  <c r="E212" i="2"/>
  <c r="H212" i="2"/>
  <c r="J212" i="2"/>
  <c r="L212" i="2"/>
  <c r="M212" i="2"/>
  <c r="N212" i="2"/>
  <c r="O212" i="2"/>
  <c r="E213" i="2"/>
  <c r="H213" i="2"/>
  <c r="J213" i="2"/>
  <c r="L213" i="2"/>
  <c r="M213" i="2"/>
  <c r="N213" i="2"/>
  <c r="O213" i="2"/>
  <c r="E214" i="2"/>
  <c r="H214" i="2"/>
  <c r="J214" i="2"/>
  <c r="L214" i="2"/>
  <c r="M214" i="2"/>
  <c r="N214" i="2"/>
  <c r="O214" i="2"/>
  <c r="E215" i="2"/>
  <c r="H215" i="2"/>
  <c r="J215" i="2"/>
  <c r="L215" i="2"/>
  <c r="M215" i="2"/>
  <c r="N215" i="2"/>
  <c r="O215" i="2"/>
  <c r="E216" i="2"/>
  <c r="H216" i="2"/>
  <c r="J216" i="2"/>
  <c r="L216" i="2"/>
  <c r="M216" i="2"/>
  <c r="N216" i="2"/>
  <c r="O216" i="2"/>
  <c r="E217" i="2"/>
  <c r="H217" i="2"/>
  <c r="J217" i="2"/>
  <c r="L217" i="2"/>
  <c r="M217" i="2"/>
  <c r="N217" i="2"/>
  <c r="O217" i="2"/>
  <c r="E218" i="2"/>
  <c r="H218" i="2"/>
  <c r="J218" i="2"/>
  <c r="L218" i="2"/>
  <c r="M218" i="2"/>
  <c r="N218" i="2"/>
  <c r="O218" i="2"/>
  <c r="E219" i="2"/>
  <c r="H219" i="2"/>
  <c r="J219" i="2"/>
  <c r="L219" i="2"/>
  <c r="M219" i="2"/>
  <c r="N219" i="2"/>
  <c r="O219" i="2"/>
  <c r="E220" i="2"/>
  <c r="H220" i="2"/>
  <c r="J220" i="2"/>
  <c r="L220" i="2"/>
  <c r="M220" i="2"/>
  <c r="N220" i="2"/>
  <c r="O220" i="2"/>
  <c r="E221" i="2"/>
  <c r="H221" i="2"/>
  <c r="J221" i="2"/>
  <c r="L221" i="2"/>
  <c r="M221" i="2"/>
  <c r="N221" i="2"/>
  <c r="O221" i="2"/>
  <c r="E222" i="2"/>
  <c r="H222" i="2"/>
  <c r="J222" i="2"/>
  <c r="L222" i="2"/>
  <c r="M222" i="2"/>
  <c r="N222" i="2"/>
  <c r="O222" i="2"/>
  <c r="E223" i="2"/>
  <c r="H223" i="2"/>
  <c r="J223" i="2"/>
  <c r="L223" i="2"/>
  <c r="M223" i="2"/>
  <c r="N223" i="2"/>
  <c r="O223" i="2"/>
  <c r="E224" i="2"/>
  <c r="H224" i="2"/>
  <c r="J224" i="2"/>
  <c r="L224" i="2"/>
  <c r="M224" i="2"/>
  <c r="N224" i="2"/>
  <c r="O224" i="2"/>
  <c r="E225" i="2"/>
  <c r="H225" i="2"/>
  <c r="J225" i="2"/>
  <c r="L225" i="2"/>
  <c r="M225" i="2"/>
  <c r="N225" i="2"/>
  <c r="O225" i="2"/>
  <c r="E226" i="2"/>
  <c r="H226" i="2"/>
  <c r="J226" i="2"/>
  <c r="L226" i="2"/>
  <c r="M226" i="2"/>
  <c r="N226" i="2"/>
  <c r="O226" i="2"/>
  <c r="E227" i="2"/>
  <c r="H227" i="2"/>
  <c r="J227" i="2"/>
  <c r="L227" i="2"/>
  <c r="M227" i="2"/>
  <c r="N227" i="2"/>
  <c r="O227" i="2"/>
  <c r="E228" i="2"/>
  <c r="H228" i="2"/>
  <c r="J228" i="2"/>
  <c r="L228" i="2"/>
  <c r="M228" i="2"/>
  <c r="N228" i="2"/>
  <c r="O228" i="2"/>
  <c r="E229" i="2"/>
  <c r="H229" i="2"/>
  <c r="J229" i="2"/>
  <c r="L229" i="2"/>
  <c r="M229" i="2"/>
  <c r="N229" i="2"/>
  <c r="O229" i="2"/>
  <c r="E230" i="2"/>
  <c r="H230" i="2"/>
  <c r="J230" i="2"/>
  <c r="L230" i="2"/>
  <c r="M230" i="2"/>
  <c r="N230" i="2"/>
  <c r="O230" i="2"/>
  <c r="E231" i="2"/>
  <c r="H231" i="2"/>
  <c r="J231" i="2"/>
  <c r="L231" i="2"/>
  <c r="M231" i="2"/>
  <c r="N231" i="2"/>
  <c r="O231" i="2"/>
  <c r="E232" i="2"/>
  <c r="H232" i="2"/>
  <c r="J232" i="2"/>
  <c r="L232" i="2"/>
  <c r="M232" i="2"/>
  <c r="N232" i="2"/>
  <c r="O232" i="2"/>
  <c r="E233" i="2"/>
  <c r="H233" i="2"/>
  <c r="J233" i="2"/>
  <c r="L233" i="2"/>
  <c r="M233" i="2"/>
  <c r="N233" i="2"/>
  <c r="O233" i="2"/>
  <c r="E234" i="2"/>
  <c r="H234" i="2"/>
  <c r="J234" i="2"/>
  <c r="L234" i="2"/>
  <c r="M234" i="2"/>
  <c r="N234" i="2"/>
  <c r="O234" i="2"/>
  <c r="E235" i="2"/>
  <c r="H235" i="2"/>
  <c r="J235" i="2"/>
  <c r="L235" i="2"/>
  <c r="M235" i="2"/>
  <c r="N235" i="2"/>
  <c r="O235" i="2"/>
  <c r="E236" i="2"/>
  <c r="H236" i="2"/>
  <c r="J236" i="2"/>
  <c r="L236" i="2"/>
  <c r="M236" i="2"/>
  <c r="N236" i="2"/>
  <c r="O236" i="2"/>
  <c r="E237" i="2"/>
  <c r="H237" i="2"/>
  <c r="J237" i="2"/>
  <c r="L237" i="2"/>
  <c r="M237" i="2"/>
  <c r="N237" i="2"/>
  <c r="O237" i="2"/>
  <c r="E238" i="2"/>
  <c r="H238" i="2"/>
  <c r="J238" i="2"/>
  <c r="L238" i="2"/>
  <c r="M238" i="2"/>
  <c r="N238" i="2"/>
  <c r="O238" i="2"/>
  <c r="E239" i="2"/>
  <c r="H239" i="2"/>
  <c r="J239" i="2"/>
  <c r="L239" i="2"/>
  <c r="M239" i="2"/>
  <c r="N239" i="2"/>
  <c r="O239" i="2"/>
  <c r="E240" i="2"/>
  <c r="H240" i="2"/>
  <c r="J240" i="2"/>
  <c r="L240" i="2"/>
  <c r="M240" i="2"/>
  <c r="N240" i="2"/>
  <c r="O240" i="2"/>
  <c r="E241" i="2"/>
  <c r="H241" i="2"/>
  <c r="J241" i="2"/>
  <c r="L241" i="2"/>
  <c r="M241" i="2"/>
  <c r="N241" i="2"/>
  <c r="O241" i="2"/>
  <c r="E242" i="2"/>
  <c r="H242" i="2"/>
  <c r="J242" i="2"/>
  <c r="L242" i="2"/>
  <c r="M242" i="2"/>
  <c r="N242" i="2"/>
  <c r="O242" i="2"/>
  <c r="E243" i="2"/>
  <c r="H243" i="2"/>
  <c r="J243" i="2"/>
  <c r="L243" i="2"/>
  <c r="M243" i="2"/>
  <c r="N243" i="2"/>
  <c r="O243" i="2"/>
  <c r="E244" i="2"/>
  <c r="H244" i="2"/>
  <c r="J244" i="2"/>
  <c r="L244" i="2"/>
  <c r="M244" i="2"/>
  <c r="N244" i="2"/>
  <c r="O244" i="2"/>
  <c r="E245" i="2"/>
  <c r="H245" i="2"/>
  <c r="J245" i="2"/>
  <c r="L245" i="2"/>
  <c r="M245" i="2"/>
  <c r="N245" i="2"/>
  <c r="O245" i="2"/>
  <c r="E246" i="2"/>
  <c r="H246" i="2"/>
  <c r="J246" i="2"/>
  <c r="L246" i="2"/>
  <c r="M246" i="2"/>
  <c r="N246" i="2"/>
  <c r="O246" i="2"/>
  <c r="E247" i="2"/>
  <c r="H247" i="2"/>
  <c r="J247" i="2"/>
  <c r="L247" i="2"/>
  <c r="M247" i="2"/>
  <c r="N247" i="2"/>
  <c r="O247" i="2"/>
  <c r="E248" i="2"/>
  <c r="H248" i="2"/>
  <c r="J248" i="2"/>
  <c r="L248" i="2"/>
  <c r="M248" i="2"/>
  <c r="N248" i="2"/>
  <c r="O248" i="2"/>
  <c r="E249" i="2"/>
  <c r="H249" i="2"/>
  <c r="J249" i="2"/>
  <c r="L249" i="2"/>
  <c r="M249" i="2"/>
  <c r="N249" i="2"/>
  <c r="O249" i="2"/>
  <c r="E250" i="2"/>
  <c r="H250" i="2"/>
  <c r="J250" i="2"/>
  <c r="L250" i="2"/>
  <c r="M250" i="2"/>
  <c r="N250" i="2"/>
  <c r="O250" i="2"/>
  <c r="E251" i="2"/>
  <c r="H251" i="2"/>
  <c r="J251" i="2"/>
  <c r="L251" i="2"/>
  <c r="M251" i="2"/>
  <c r="N251" i="2"/>
  <c r="O251" i="2"/>
  <c r="E252" i="2"/>
  <c r="H252" i="2"/>
  <c r="J252" i="2"/>
  <c r="L252" i="2"/>
  <c r="M252" i="2"/>
  <c r="N252" i="2"/>
  <c r="O252" i="2"/>
  <c r="E253" i="2"/>
  <c r="H253" i="2"/>
  <c r="J253" i="2"/>
  <c r="L253" i="2"/>
  <c r="M253" i="2"/>
  <c r="N253" i="2"/>
  <c r="O253" i="2"/>
  <c r="E254" i="2"/>
  <c r="H254" i="2"/>
  <c r="J254" i="2"/>
  <c r="L254" i="2"/>
  <c r="M254" i="2"/>
  <c r="N254" i="2"/>
  <c r="O254" i="2"/>
  <c r="E255" i="2"/>
  <c r="H255" i="2"/>
  <c r="J255" i="2"/>
  <c r="L255" i="2"/>
  <c r="M255" i="2"/>
  <c r="N255" i="2"/>
  <c r="O255" i="2"/>
  <c r="E256" i="2"/>
  <c r="H256" i="2"/>
  <c r="J256" i="2"/>
  <c r="L256" i="2"/>
  <c r="M256" i="2"/>
  <c r="N256" i="2"/>
  <c r="O256" i="2"/>
  <c r="E257" i="2"/>
  <c r="H257" i="2"/>
  <c r="J257" i="2"/>
  <c r="L257" i="2"/>
  <c r="M257" i="2"/>
  <c r="N257" i="2"/>
  <c r="O257" i="2"/>
  <c r="E258" i="2"/>
  <c r="H258" i="2"/>
  <c r="J258" i="2"/>
  <c r="L258" i="2"/>
  <c r="M258" i="2"/>
  <c r="N258" i="2"/>
  <c r="O258" i="2"/>
  <c r="E259" i="2"/>
  <c r="H259" i="2"/>
  <c r="J259" i="2"/>
  <c r="L259" i="2"/>
  <c r="M259" i="2"/>
  <c r="N259" i="2"/>
  <c r="O259" i="2"/>
  <c r="E260" i="2"/>
  <c r="H260" i="2"/>
  <c r="J260" i="2"/>
  <c r="L260" i="2"/>
  <c r="M260" i="2"/>
  <c r="N260" i="2"/>
  <c r="O260" i="2"/>
  <c r="E261" i="2"/>
  <c r="H261" i="2"/>
  <c r="J261" i="2"/>
  <c r="L261" i="2"/>
  <c r="M261" i="2"/>
  <c r="N261" i="2"/>
  <c r="O261" i="2"/>
  <c r="E262" i="2"/>
  <c r="H262" i="2"/>
  <c r="J262" i="2"/>
  <c r="L262" i="2"/>
  <c r="M262" i="2"/>
  <c r="N262" i="2"/>
  <c r="O262" i="2"/>
  <c r="E263" i="2"/>
  <c r="H263" i="2"/>
  <c r="J263" i="2"/>
  <c r="L263" i="2"/>
  <c r="M263" i="2"/>
  <c r="N263" i="2"/>
  <c r="O263" i="2"/>
  <c r="E264" i="2"/>
  <c r="H264" i="2"/>
  <c r="J264" i="2"/>
  <c r="L264" i="2"/>
  <c r="M264" i="2"/>
  <c r="N264" i="2"/>
  <c r="O264" i="2"/>
  <c r="E265" i="2"/>
  <c r="H265" i="2"/>
  <c r="J265" i="2"/>
  <c r="L265" i="2"/>
  <c r="M265" i="2"/>
  <c r="N265" i="2"/>
  <c r="O265" i="2"/>
  <c r="E266" i="2"/>
  <c r="H266" i="2"/>
  <c r="J266" i="2"/>
  <c r="L266" i="2"/>
  <c r="M266" i="2"/>
  <c r="N266" i="2"/>
  <c r="O266" i="2"/>
  <c r="E267" i="2"/>
  <c r="H267" i="2"/>
  <c r="J267" i="2"/>
  <c r="L267" i="2"/>
  <c r="M267" i="2"/>
  <c r="N267" i="2"/>
  <c r="O267" i="2"/>
  <c r="E268" i="2"/>
  <c r="H268" i="2"/>
  <c r="J268" i="2"/>
  <c r="L268" i="2"/>
  <c r="M268" i="2"/>
  <c r="N268" i="2"/>
  <c r="O268" i="2"/>
  <c r="E269" i="2"/>
  <c r="H269" i="2"/>
  <c r="J269" i="2"/>
  <c r="L269" i="2"/>
  <c r="M269" i="2"/>
  <c r="N269" i="2"/>
  <c r="O269" i="2"/>
  <c r="E270" i="2"/>
  <c r="H270" i="2"/>
  <c r="J270" i="2"/>
  <c r="L270" i="2"/>
  <c r="M270" i="2"/>
  <c r="N270" i="2"/>
  <c r="O270" i="2"/>
  <c r="E271" i="2"/>
  <c r="H271" i="2"/>
  <c r="J271" i="2"/>
  <c r="L271" i="2"/>
  <c r="M271" i="2"/>
  <c r="N271" i="2"/>
  <c r="O271" i="2"/>
  <c r="E272" i="2"/>
  <c r="H272" i="2"/>
  <c r="J272" i="2"/>
  <c r="L272" i="2"/>
  <c r="M272" i="2"/>
  <c r="N272" i="2"/>
  <c r="O272" i="2"/>
  <c r="E273" i="2"/>
  <c r="H273" i="2"/>
  <c r="J273" i="2"/>
  <c r="L273" i="2"/>
  <c r="M273" i="2"/>
  <c r="N273" i="2"/>
  <c r="O273" i="2"/>
  <c r="E274" i="2"/>
  <c r="H274" i="2"/>
  <c r="J274" i="2"/>
  <c r="L274" i="2"/>
  <c r="M274" i="2"/>
  <c r="N274" i="2"/>
  <c r="O274" i="2"/>
  <c r="E275" i="2"/>
  <c r="H275" i="2"/>
  <c r="J275" i="2"/>
  <c r="L275" i="2"/>
  <c r="M275" i="2"/>
  <c r="N275" i="2"/>
  <c r="O275" i="2"/>
  <c r="E276" i="2"/>
  <c r="H276" i="2"/>
  <c r="J276" i="2"/>
  <c r="L276" i="2"/>
  <c r="M276" i="2"/>
  <c r="N276" i="2"/>
  <c r="O276" i="2"/>
  <c r="E277" i="2"/>
  <c r="H277" i="2"/>
  <c r="J277" i="2"/>
  <c r="L277" i="2"/>
  <c r="M277" i="2"/>
  <c r="N277" i="2"/>
  <c r="O277" i="2"/>
  <c r="E278" i="2"/>
  <c r="H278" i="2"/>
  <c r="J278" i="2"/>
  <c r="L278" i="2"/>
  <c r="M278" i="2"/>
  <c r="N278" i="2"/>
  <c r="O278" i="2"/>
  <c r="E279" i="2"/>
  <c r="H279" i="2"/>
  <c r="J279" i="2"/>
  <c r="L279" i="2"/>
  <c r="M279" i="2"/>
  <c r="N279" i="2"/>
  <c r="O279" i="2"/>
  <c r="E280" i="2"/>
  <c r="H280" i="2"/>
  <c r="J280" i="2"/>
  <c r="L280" i="2"/>
  <c r="M280" i="2"/>
  <c r="N280" i="2"/>
  <c r="O280" i="2"/>
  <c r="E281" i="2"/>
  <c r="H281" i="2"/>
  <c r="J281" i="2"/>
  <c r="L281" i="2"/>
  <c r="M281" i="2"/>
  <c r="N281" i="2"/>
  <c r="O281" i="2"/>
  <c r="E282" i="2"/>
  <c r="H282" i="2"/>
  <c r="J282" i="2"/>
  <c r="L282" i="2"/>
  <c r="M282" i="2"/>
  <c r="N282" i="2"/>
  <c r="O282" i="2"/>
  <c r="E283" i="2"/>
  <c r="H283" i="2"/>
  <c r="J283" i="2"/>
  <c r="L283" i="2"/>
  <c r="M283" i="2"/>
  <c r="N283" i="2"/>
  <c r="O283" i="2"/>
  <c r="E284" i="2"/>
  <c r="H284" i="2"/>
  <c r="J284" i="2"/>
  <c r="L284" i="2"/>
  <c r="M284" i="2"/>
  <c r="N284" i="2"/>
  <c r="O284" i="2"/>
  <c r="E285" i="2"/>
  <c r="H285" i="2"/>
  <c r="J285" i="2"/>
  <c r="L285" i="2"/>
  <c r="M285" i="2"/>
  <c r="N285" i="2"/>
  <c r="O285" i="2"/>
  <c r="E286" i="2"/>
  <c r="H286" i="2"/>
  <c r="J286" i="2"/>
  <c r="L286" i="2"/>
  <c r="M286" i="2"/>
  <c r="N286" i="2"/>
  <c r="O286" i="2"/>
  <c r="E287" i="2"/>
  <c r="H287" i="2"/>
  <c r="J287" i="2"/>
  <c r="L287" i="2"/>
  <c r="M287" i="2"/>
  <c r="N287" i="2"/>
  <c r="O287" i="2"/>
  <c r="E288" i="2"/>
  <c r="H288" i="2"/>
  <c r="J288" i="2"/>
  <c r="L288" i="2"/>
  <c r="M288" i="2"/>
  <c r="N288" i="2"/>
  <c r="O288" i="2"/>
  <c r="E289" i="2"/>
  <c r="H289" i="2"/>
  <c r="J289" i="2"/>
  <c r="L289" i="2"/>
  <c r="M289" i="2"/>
  <c r="N289" i="2"/>
  <c r="O289" i="2"/>
  <c r="E290" i="2"/>
  <c r="H290" i="2"/>
  <c r="J290" i="2"/>
  <c r="L290" i="2"/>
  <c r="M290" i="2"/>
  <c r="N290" i="2"/>
  <c r="O290" i="2"/>
  <c r="E291" i="2"/>
  <c r="H291" i="2"/>
  <c r="J291" i="2"/>
  <c r="L291" i="2"/>
  <c r="M291" i="2"/>
  <c r="N291" i="2"/>
  <c r="O291" i="2"/>
  <c r="E292" i="2"/>
  <c r="H292" i="2"/>
  <c r="J292" i="2"/>
  <c r="L292" i="2"/>
  <c r="M292" i="2"/>
  <c r="N292" i="2"/>
  <c r="O292" i="2"/>
  <c r="E293" i="2"/>
  <c r="H293" i="2"/>
  <c r="J293" i="2"/>
  <c r="L293" i="2"/>
  <c r="M293" i="2"/>
  <c r="N293" i="2"/>
  <c r="O293" i="2"/>
  <c r="E294" i="2"/>
  <c r="H294" i="2"/>
  <c r="J294" i="2"/>
  <c r="L294" i="2"/>
  <c r="M294" i="2"/>
  <c r="N294" i="2"/>
  <c r="O294" i="2"/>
  <c r="E295" i="2"/>
  <c r="H295" i="2"/>
  <c r="J295" i="2"/>
  <c r="L295" i="2"/>
  <c r="M295" i="2"/>
  <c r="N295" i="2"/>
  <c r="O295" i="2"/>
  <c r="E296" i="2"/>
  <c r="H296" i="2"/>
  <c r="J296" i="2"/>
  <c r="L296" i="2"/>
  <c r="M296" i="2"/>
  <c r="N296" i="2"/>
  <c r="O296" i="2"/>
  <c r="E297" i="2"/>
  <c r="H297" i="2"/>
  <c r="J297" i="2"/>
  <c r="L297" i="2"/>
  <c r="M297" i="2"/>
  <c r="N297" i="2"/>
  <c r="O297" i="2"/>
  <c r="E298" i="2"/>
  <c r="H298" i="2"/>
  <c r="J298" i="2"/>
  <c r="L298" i="2"/>
  <c r="M298" i="2"/>
  <c r="N298" i="2"/>
  <c r="O298" i="2"/>
  <c r="E299" i="2"/>
  <c r="H299" i="2"/>
  <c r="J299" i="2"/>
  <c r="L299" i="2"/>
  <c r="M299" i="2"/>
  <c r="N299" i="2"/>
  <c r="O299" i="2"/>
  <c r="E300" i="2"/>
  <c r="H300" i="2"/>
  <c r="J300" i="2"/>
  <c r="L300" i="2"/>
  <c r="M300" i="2"/>
  <c r="N300" i="2"/>
  <c r="O300" i="2"/>
  <c r="E301" i="2"/>
  <c r="H301" i="2"/>
  <c r="J301" i="2"/>
  <c r="L301" i="2"/>
  <c r="M301" i="2"/>
  <c r="N301" i="2"/>
  <c r="O301" i="2"/>
  <c r="E302" i="2"/>
  <c r="H302" i="2"/>
  <c r="J302" i="2"/>
  <c r="L302" i="2"/>
  <c r="M302" i="2"/>
  <c r="N302" i="2"/>
  <c r="O302" i="2"/>
  <c r="E303" i="2"/>
  <c r="H303" i="2"/>
  <c r="J303" i="2"/>
  <c r="L303" i="2"/>
  <c r="M303" i="2"/>
  <c r="N303" i="2"/>
  <c r="O303" i="2"/>
  <c r="E304" i="2"/>
  <c r="H304" i="2"/>
  <c r="J304" i="2"/>
  <c r="L304" i="2"/>
  <c r="M304" i="2"/>
  <c r="N304" i="2"/>
  <c r="O304" i="2"/>
  <c r="E305" i="2"/>
  <c r="H305" i="2"/>
  <c r="J305" i="2"/>
  <c r="L305" i="2"/>
  <c r="M305" i="2"/>
  <c r="N305" i="2"/>
  <c r="O305" i="2"/>
  <c r="E306" i="2"/>
  <c r="H306" i="2"/>
  <c r="J306" i="2"/>
  <c r="L306" i="2"/>
  <c r="M306" i="2"/>
  <c r="N306" i="2"/>
  <c r="O306" i="2"/>
  <c r="E307" i="2"/>
  <c r="H307" i="2"/>
  <c r="J307" i="2"/>
  <c r="L307" i="2"/>
  <c r="M307" i="2"/>
  <c r="N307" i="2"/>
  <c r="O307" i="2"/>
  <c r="E308" i="2"/>
  <c r="H308" i="2"/>
  <c r="J308" i="2"/>
  <c r="L308" i="2"/>
  <c r="M308" i="2"/>
  <c r="N308" i="2"/>
  <c r="O308" i="2"/>
  <c r="E309" i="2"/>
  <c r="H309" i="2"/>
  <c r="J309" i="2"/>
  <c r="L309" i="2"/>
  <c r="M309" i="2"/>
  <c r="N309" i="2"/>
  <c r="O309" i="2"/>
  <c r="E310" i="2"/>
  <c r="H310" i="2"/>
  <c r="J310" i="2"/>
  <c r="L310" i="2"/>
  <c r="M310" i="2"/>
  <c r="N310" i="2"/>
  <c r="O310" i="2"/>
  <c r="E311" i="2"/>
  <c r="H311" i="2"/>
  <c r="J311" i="2"/>
  <c r="L311" i="2"/>
  <c r="M311" i="2"/>
  <c r="N311" i="2"/>
  <c r="O311" i="2"/>
  <c r="E312" i="2"/>
  <c r="H312" i="2"/>
  <c r="J312" i="2"/>
  <c r="L312" i="2"/>
  <c r="M312" i="2"/>
  <c r="N312" i="2"/>
  <c r="O312" i="2"/>
  <c r="E313" i="2"/>
  <c r="H313" i="2"/>
  <c r="J313" i="2"/>
  <c r="L313" i="2"/>
  <c r="M313" i="2"/>
  <c r="N313" i="2"/>
  <c r="O313" i="2"/>
  <c r="E314" i="2"/>
  <c r="H314" i="2"/>
  <c r="J314" i="2"/>
  <c r="L314" i="2"/>
  <c r="M314" i="2"/>
  <c r="N314" i="2"/>
  <c r="O314" i="2"/>
  <c r="E315" i="2"/>
  <c r="H315" i="2"/>
  <c r="J315" i="2"/>
  <c r="L315" i="2"/>
  <c r="M315" i="2"/>
  <c r="N315" i="2"/>
  <c r="O315" i="2"/>
  <c r="E316" i="2"/>
  <c r="H316" i="2"/>
  <c r="J316" i="2"/>
  <c r="L316" i="2"/>
  <c r="M316" i="2"/>
  <c r="N316" i="2"/>
  <c r="O316" i="2"/>
  <c r="E317" i="2"/>
  <c r="H317" i="2"/>
  <c r="J317" i="2"/>
  <c r="L317" i="2"/>
  <c r="M317" i="2"/>
  <c r="N317" i="2"/>
  <c r="O317" i="2"/>
  <c r="E318" i="2"/>
  <c r="H318" i="2"/>
  <c r="J318" i="2"/>
  <c r="L318" i="2"/>
  <c r="M318" i="2"/>
  <c r="N318" i="2"/>
  <c r="O318" i="2"/>
  <c r="E319" i="2"/>
  <c r="H319" i="2"/>
  <c r="J319" i="2"/>
  <c r="L319" i="2"/>
  <c r="M319" i="2"/>
  <c r="N319" i="2"/>
  <c r="O319" i="2"/>
  <c r="E320" i="2"/>
  <c r="H320" i="2"/>
  <c r="J320" i="2"/>
  <c r="L320" i="2"/>
  <c r="M320" i="2"/>
  <c r="N320" i="2"/>
  <c r="O320" i="2"/>
  <c r="E321" i="2"/>
  <c r="H321" i="2"/>
  <c r="J321" i="2"/>
  <c r="L321" i="2"/>
  <c r="M321" i="2"/>
  <c r="N321" i="2"/>
  <c r="O321" i="2"/>
  <c r="E322" i="2"/>
  <c r="H322" i="2"/>
  <c r="J322" i="2"/>
  <c r="L322" i="2"/>
  <c r="M322" i="2"/>
  <c r="N322" i="2"/>
  <c r="O322" i="2"/>
  <c r="E323" i="2"/>
  <c r="H323" i="2"/>
  <c r="J323" i="2"/>
  <c r="L323" i="2"/>
  <c r="M323" i="2"/>
  <c r="N323" i="2"/>
  <c r="O323" i="2"/>
  <c r="E324" i="2"/>
  <c r="H324" i="2"/>
  <c r="J324" i="2"/>
  <c r="L324" i="2"/>
  <c r="M324" i="2"/>
  <c r="N324" i="2"/>
  <c r="O324" i="2"/>
  <c r="E325" i="2"/>
  <c r="H325" i="2"/>
  <c r="J325" i="2"/>
  <c r="L325" i="2"/>
  <c r="M325" i="2"/>
  <c r="N325" i="2"/>
  <c r="O325" i="2"/>
  <c r="E326" i="2"/>
  <c r="H326" i="2"/>
  <c r="J326" i="2"/>
  <c r="L326" i="2"/>
  <c r="M326" i="2"/>
  <c r="N326" i="2"/>
  <c r="O326" i="2"/>
  <c r="E327" i="2"/>
  <c r="H327" i="2"/>
  <c r="J327" i="2"/>
  <c r="L327" i="2"/>
  <c r="M327" i="2"/>
  <c r="N327" i="2"/>
  <c r="O327" i="2"/>
  <c r="E328" i="2"/>
  <c r="H328" i="2"/>
  <c r="J328" i="2"/>
  <c r="L328" i="2"/>
  <c r="M328" i="2"/>
  <c r="N328" i="2"/>
  <c r="O328" i="2"/>
  <c r="E329" i="2"/>
  <c r="H329" i="2"/>
  <c r="J329" i="2"/>
  <c r="L329" i="2"/>
  <c r="M329" i="2"/>
  <c r="N329" i="2"/>
  <c r="O329" i="2"/>
  <c r="E330" i="2"/>
  <c r="H330" i="2"/>
  <c r="J330" i="2"/>
  <c r="L330" i="2"/>
  <c r="M330" i="2"/>
  <c r="N330" i="2"/>
  <c r="O330" i="2"/>
  <c r="E331" i="2"/>
  <c r="H331" i="2"/>
  <c r="J331" i="2"/>
  <c r="L331" i="2"/>
  <c r="M331" i="2"/>
  <c r="N331" i="2"/>
  <c r="O331" i="2"/>
  <c r="E332" i="2"/>
  <c r="H332" i="2"/>
  <c r="J332" i="2"/>
  <c r="L332" i="2"/>
  <c r="M332" i="2"/>
  <c r="N332" i="2"/>
  <c r="O332" i="2"/>
  <c r="E333" i="2"/>
  <c r="H333" i="2"/>
  <c r="J333" i="2"/>
  <c r="L333" i="2"/>
  <c r="M333" i="2"/>
  <c r="N333" i="2"/>
  <c r="O333" i="2"/>
  <c r="E334" i="2"/>
  <c r="H334" i="2"/>
  <c r="J334" i="2"/>
  <c r="L334" i="2"/>
  <c r="M334" i="2"/>
  <c r="N334" i="2"/>
  <c r="O334" i="2"/>
  <c r="E335" i="2"/>
  <c r="H335" i="2"/>
  <c r="J335" i="2"/>
  <c r="L335" i="2"/>
  <c r="M335" i="2"/>
  <c r="N335" i="2"/>
  <c r="O335" i="2"/>
  <c r="E336" i="2"/>
  <c r="H336" i="2"/>
  <c r="J336" i="2"/>
  <c r="L336" i="2"/>
  <c r="M336" i="2"/>
  <c r="N336" i="2"/>
  <c r="O336" i="2"/>
  <c r="E337" i="2"/>
  <c r="H337" i="2"/>
  <c r="J337" i="2"/>
  <c r="L337" i="2"/>
  <c r="M337" i="2"/>
  <c r="N337" i="2"/>
  <c r="O337" i="2"/>
  <c r="E338" i="2"/>
  <c r="H338" i="2"/>
  <c r="J338" i="2"/>
  <c r="L338" i="2"/>
  <c r="M338" i="2"/>
  <c r="N338" i="2"/>
  <c r="O338" i="2"/>
  <c r="E339" i="2"/>
  <c r="H339" i="2"/>
  <c r="J339" i="2"/>
  <c r="L339" i="2"/>
  <c r="M339" i="2"/>
  <c r="N339" i="2"/>
  <c r="O339" i="2"/>
  <c r="E340" i="2"/>
  <c r="H340" i="2"/>
  <c r="J340" i="2"/>
  <c r="L340" i="2"/>
  <c r="M340" i="2"/>
  <c r="N340" i="2"/>
  <c r="O340" i="2"/>
  <c r="E341" i="2"/>
  <c r="H341" i="2"/>
  <c r="J341" i="2"/>
  <c r="L341" i="2"/>
  <c r="M341" i="2"/>
  <c r="N341" i="2"/>
  <c r="O341" i="2"/>
  <c r="E342" i="2"/>
  <c r="H342" i="2"/>
  <c r="J342" i="2"/>
  <c r="L342" i="2"/>
  <c r="M342" i="2"/>
  <c r="N342" i="2"/>
  <c r="O342" i="2"/>
  <c r="E343" i="2"/>
  <c r="H343" i="2"/>
  <c r="J343" i="2"/>
  <c r="L343" i="2"/>
  <c r="M343" i="2"/>
  <c r="N343" i="2"/>
  <c r="O343" i="2"/>
  <c r="E344" i="2"/>
  <c r="H344" i="2"/>
  <c r="J344" i="2"/>
  <c r="L344" i="2"/>
  <c r="M344" i="2"/>
  <c r="N344" i="2"/>
  <c r="O344" i="2"/>
  <c r="E345" i="2"/>
  <c r="H345" i="2"/>
  <c r="J345" i="2"/>
  <c r="L345" i="2"/>
  <c r="M345" i="2"/>
  <c r="N345" i="2"/>
  <c r="O345" i="2"/>
  <c r="E346" i="2"/>
  <c r="H346" i="2"/>
  <c r="J346" i="2"/>
  <c r="L346" i="2"/>
  <c r="M346" i="2"/>
  <c r="N346" i="2"/>
  <c r="O346" i="2"/>
  <c r="E347" i="2"/>
  <c r="H347" i="2"/>
  <c r="J347" i="2"/>
  <c r="L347" i="2"/>
  <c r="M347" i="2"/>
  <c r="N347" i="2"/>
  <c r="O347" i="2"/>
  <c r="E348" i="2"/>
  <c r="H348" i="2"/>
  <c r="J348" i="2"/>
  <c r="L348" i="2"/>
  <c r="M348" i="2"/>
  <c r="N348" i="2"/>
  <c r="O348" i="2"/>
  <c r="E349" i="2"/>
  <c r="H349" i="2"/>
  <c r="J349" i="2"/>
  <c r="L349" i="2"/>
  <c r="M349" i="2"/>
  <c r="N349" i="2"/>
  <c r="O349" i="2"/>
  <c r="E350" i="2"/>
  <c r="H350" i="2"/>
  <c r="J350" i="2"/>
  <c r="L350" i="2"/>
  <c r="M350" i="2"/>
  <c r="N350" i="2"/>
  <c r="O350" i="2"/>
  <c r="E351" i="2"/>
  <c r="H351" i="2"/>
  <c r="J351" i="2"/>
  <c r="L351" i="2"/>
  <c r="M351" i="2"/>
  <c r="N351" i="2"/>
  <c r="O351" i="2"/>
  <c r="E352" i="2"/>
  <c r="H352" i="2"/>
  <c r="J352" i="2"/>
  <c r="L352" i="2"/>
  <c r="M352" i="2"/>
  <c r="N352" i="2"/>
  <c r="O352" i="2"/>
  <c r="E353" i="2"/>
  <c r="H353" i="2"/>
  <c r="J353" i="2"/>
  <c r="L353" i="2"/>
  <c r="M353" i="2"/>
  <c r="N353" i="2"/>
  <c r="O353" i="2"/>
  <c r="E354" i="2"/>
  <c r="H354" i="2"/>
  <c r="J354" i="2"/>
  <c r="L354" i="2"/>
  <c r="M354" i="2"/>
  <c r="N354" i="2"/>
  <c r="O354" i="2"/>
  <c r="E355" i="2"/>
  <c r="H355" i="2"/>
  <c r="J355" i="2"/>
  <c r="L355" i="2"/>
  <c r="M355" i="2"/>
  <c r="N355" i="2"/>
  <c r="O355" i="2"/>
  <c r="E356" i="2"/>
  <c r="H356" i="2"/>
  <c r="J356" i="2"/>
  <c r="L356" i="2"/>
  <c r="M356" i="2"/>
  <c r="N356" i="2"/>
  <c r="O356" i="2"/>
  <c r="E357" i="2"/>
  <c r="H357" i="2"/>
  <c r="J357" i="2"/>
  <c r="L357" i="2"/>
  <c r="M357" i="2"/>
  <c r="N357" i="2"/>
  <c r="O357" i="2"/>
  <c r="E358" i="2"/>
  <c r="H358" i="2"/>
  <c r="J358" i="2"/>
  <c r="L358" i="2"/>
  <c r="M358" i="2"/>
  <c r="N358" i="2"/>
  <c r="O358" i="2"/>
  <c r="E359" i="2"/>
  <c r="H359" i="2"/>
  <c r="J359" i="2"/>
  <c r="L359" i="2"/>
  <c r="M359" i="2"/>
  <c r="N359" i="2"/>
  <c r="O359" i="2"/>
  <c r="E360" i="2"/>
  <c r="H360" i="2"/>
  <c r="J360" i="2"/>
  <c r="L360" i="2"/>
  <c r="M360" i="2"/>
  <c r="N360" i="2"/>
  <c r="O360" i="2"/>
  <c r="E361" i="2"/>
  <c r="H361" i="2"/>
  <c r="J361" i="2"/>
  <c r="L361" i="2"/>
  <c r="M361" i="2"/>
  <c r="N361" i="2"/>
  <c r="O361" i="2"/>
  <c r="E362" i="2"/>
  <c r="H362" i="2"/>
  <c r="J362" i="2"/>
  <c r="L362" i="2"/>
  <c r="M362" i="2"/>
  <c r="N362" i="2"/>
  <c r="O362" i="2"/>
  <c r="E363" i="2"/>
  <c r="H363" i="2"/>
  <c r="J363" i="2"/>
  <c r="L363" i="2"/>
  <c r="M363" i="2"/>
  <c r="N363" i="2"/>
  <c r="O363" i="2"/>
  <c r="E364" i="2"/>
  <c r="H364" i="2"/>
  <c r="J364" i="2"/>
  <c r="L364" i="2"/>
  <c r="M364" i="2"/>
  <c r="N364" i="2"/>
  <c r="O364" i="2"/>
  <c r="E365" i="2"/>
  <c r="H365" i="2"/>
  <c r="J365" i="2"/>
  <c r="L365" i="2"/>
  <c r="M365" i="2"/>
  <c r="N365" i="2"/>
  <c r="O365" i="2"/>
  <c r="E366" i="2"/>
  <c r="H366" i="2"/>
  <c r="J366" i="2"/>
  <c r="L366" i="2"/>
  <c r="M366" i="2"/>
  <c r="N366" i="2"/>
  <c r="O366" i="2"/>
  <c r="E367" i="2"/>
  <c r="H367" i="2"/>
  <c r="J367" i="2"/>
  <c r="L367" i="2"/>
  <c r="M367" i="2"/>
  <c r="N367" i="2"/>
  <c r="O367" i="2"/>
  <c r="E368" i="2"/>
  <c r="H368" i="2"/>
  <c r="J368" i="2"/>
  <c r="L368" i="2"/>
  <c r="M368" i="2"/>
  <c r="N368" i="2"/>
  <c r="O368" i="2"/>
  <c r="E369" i="2"/>
  <c r="H369" i="2"/>
  <c r="J369" i="2"/>
  <c r="L369" i="2"/>
  <c r="M369" i="2"/>
  <c r="N369" i="2"/>
  <c r="O369" i="2"/>
  <c r="E370" i="2"/>
  <c r="H370" i="2"/>
  <c r="J370" i="2"/>
  <c r="L370" i="2"/>
  <c r="M370" i="2"/>
  <c r="N370" i="2"/>
  <c r="O370" i="2"/>
  <c r="E371" i="2"/>
  <c r="H371" i="2"/>
  <c r="J371" i="2"/>
  <c r="L371" i="2"/>
  <c r="M371" i="2"/>
  <c r="N371" i="2"/>
  <c r="O371" i="2"/>
  <c r="E372" i="2"/>
  <c r="H372" i="2"/>
  <c r="J372" i="2"/>
  <c r="L372" i="2"/>
  <c r="M372" i="2"/>
  <c r="N372" i="2"/>
  <c r="O372" i="2"/>
  <c r="E373" i="2"/>
  <c r="H373" i="2"/>
  <c r="J373" i="2"/>
  <c r="L373" i="2"/>
  <c r="M373" i="2"/>
  <c r="N373" i="2"/>
  <c r="O373" i="2"/>
  <c r="E374" i="2"/>
  <c r="H374" i="2"/>
  <c r="J374" i="2"/>
  <c r="L374" i="2"/>
  <c r="M374" i="2"/>
  <c r="N374" i="2"/>
  <c r="O374" i="2"/>
  <c r="E375" i="2"/>
  <c r="H375" i="2"/>
  <c r="J375" i="2"/>
  <c r="L375" i="2"/>
  <c r="M375" i="2"/>
  <c r="N375" i="2"/>
  <c r="O375" i="2"/>
  <c r="E376" i="2"/>
  <c r="H376" i="2"/>
  <c r="J376" i="2"/>
  <c r="L376" i="2"/>
  <c r="M376" i="2"/>
  <c r="N376" i="2"/>
  <c r="O376" i="2"/>
  <c r="E377" i="2"/>
  <c r="H377" i="2"/>
  <c r="J377" i="2"/>
  <c r="L377" i="2"/>
  <c r="M377" i="2"/>
  <c r="N377" i="2"/>
  <c r="O377" i="2"/>
  <c r="E378" i="2"/>
  <c r="H378" i="2"/>
  <c r="J378" i="2"/>
  <c r="L378" i="2"/>
  <c r="M378" i="2"/>
  <c r="N378" i="2"/>
  <c r="O378" i="2"/>
  <c r="E379" i="2"/>
  <c r="H379" i="2"/>
  <c r="J379" i="2"/>
  <c r="L379" i="2"/>
  <c r="M379" i="2"/>
  <c r="N379" i="2"/>
  <c r="O379" i="2"/>
  <c r="E380" i="2"/>
  <c r="H380" i="2"/>
  <c r="J380" i="2"/>
  <c r="L380" i="2"/>
  <c r="M380" i="2"/>
  <c r="N380" i="2"/>
  <c r="O380" i="2"/>
  <c r="E381" i="2"/>
  <c r="H381" i="2"/>
  <c r="J381" i="2"/>
  <c r="L381" i="2"/>
  <c r="M381" i="2"/>
  <c r="N381" i="2"/>
  <c r="O381" i="2"/>
  <c r="E382" i="2"/>
  <c r="H382" i="2"/>
  <c r="J382" i="2"/>
  <c r="L382" i="2"/>
  <c r="M382" i="2"/>
  <c r="N382" i="2"/>
  <c r="O382" i="2"/>
  <c r="E383" i="2"/>
  <c r="H383" i="2"/>
  <c r="J383" i="2"/>
  <c r="L383" i="2"/>
  <c r="M383" i="2"/>
  <c r="N383" i="2"/>
  <c r="O383" i="2"/>
  <c r="E384" i="2"/>
  <c r="H384" i="2"/>
  <c r="J384" i="2"/>
  <c r="L384" i="2"/>
  <c r="M384" i="2"/>
  <c r="N384" i="2"/>
  <c r="O384" i="2"/>
  <c r="E385" i="2"/>
  <c r="H385" i="2"/>
  <c r="J385" i="2"/>
  <c r="L385" i="2"/>
  <c r="M385" i="2"/>
  <c r="N385" i="2"/>
  <c r="O385" i="2"/>
  <c r="E386" i="2"/>
  <c r="H386" i="2"/>
  <c r="J386" i="2"/>
  <c r="L386" i="2"/>
  <c r="M386" i="2"/>
  <c r="N386" i="2"/>
  <c r="O386" i="2"/>
  <c r="E387" i="2"/>
  <c r="H387" i="2"/>
  <c r="J387" i="2"/>
  <c r="L387" i="2"/>
  <c r="M387" i="2"/>
  <c r="N387" i="2"/>
  <c r="O387" i="2"/>
  <c r="E388" i="2"/>
  <c r="H388" i="2"/>
  <c r="J388" i="2"/>
  <c r="L388" i="2"/>
  <c r="M388" i="2"/>
  <c r="N388" i="2"/>
  <c r="O388" i="2"/>
  <c r="E389" i="2"/>
  <c r="H389" i="2"/>
  <c r="J389" i="2"/>
  <c r="L389" i="2"/>
  <c r="M389" i="2"/>
  <c r="N389" i="2"/>
  <c r="O389" i="2"/>
  <c r="E390" i="2"/>
  <c r="H390" i="2"/>
  <c r="J390" i="2"/>
  <c r="L390" i="2"/>
  <c r="M390" i="2"/>
  <c r="N390" i="2"/>
  <c r="O390" i="2"/>
  <c r="E391" i="2"/>
  <c r="H391" i="2"/>
  <c r="J391" i="2"/>
  <c r="L391" i="2"/>
  <c r="M391" i="2"/>
  <c r="N391" i="2"/>
  <c r="O391" i="2"/>
  <c r="E392" i="2"/>
  <c r="H392" i="2"/>
  <c r="J392" i="2"/>
  <c r="L392" i="2"/>
  <c r="M392" i="2"/>
  <c r="N392" i="2"/>
  <c r="O392" i="2"/>
  <c r="E393" i="2"/>
  <c r="H393" i="2"/>
  <c r="J393" i="2"/>
  <c r="L393" i="2"/>
  <c r="M393" i="2"/>
  <c r="N393" i="2"/>
  <c r="O393" i="2"/>
  <c r="E394" i="2"/>
  <c r="H394" i="2"/>
  <c r="J394" i="2"/>
  <c r="L394" i="2"/>
  <c r="M394" i="2"/>
  <c r="N394" i="2"/>
  <c r="O394" i="2"/>
  <c r="E395" i="2"/>
  <c r="H395" i="2"/>
  <c r="J395" i="2"/>
  <c r="L395" i="2"/>
  <c r="M395" i="2"/>
  <c r="N395" i="2"/>
  <c r="O395" i="2"/>
  <c r="E396" i="2"/>
  <c r="H396" i="2"/>
  <c r="J396" i="2"/>
  <c r="L396" i="2"/>
  <c r="M396" i="2"/>
  <c r="N396" i="2"/>
  <c r="O396" i="2"/>
  <c r="E397" i="2"/>
  <c r="H397" i="2"/>
  <c r="J397" i="2"/>
  <c r="L397" i="2"/>
  <c r="M397" i="2"/>
  <c r="N397" i="2"/>
  <c r="O397" i="2"/>
  <c r="E398" i="2"/>
  <c r="H398" i="2"/>
  <c r="J398" i="2"/>
  <c r="L398" i="2"/>
  <c r="M398" i="2"/>
  <c r="N398" i="2"/>
  <c r="O398" i="2"/>
  <c r="E399" i="2"/>
  <c r="H399" i="2"/>
  <c r="J399" i="2"/>
  <c r="L399" i="2"/>
  <c r="M399" i="2"/>
  <c r="N399" i="2"/>
  <c r="O399" i="2"/>
  <c r="E400" i="2"/>
  <c r="H400" i="2"/>
  <c r="J400" i="2"/>
  <c r="L400" i="2"/>
  <c r="M400" i="2"/>
  <c r="N400" i="2"/>
  <c r="O400" i="2"/>
  <c r="E401" i="2"/>
  <c r="H401" i="2"/>
  <c r="J401" i="2"/>
  <c r="L401" i="2"/>
  <c r="M401" i="2"/>
  <c r="N401" i="2"/>
  <c r="O401" i="2"/>
  <c r="E402" i="2"/>
  <c r="H402" i="2"/>
  <c r="J402" i="2"/>
  <c r="L402" i="2"/>
  <c r="M402" i="2"/>
  <c r="N402" i="2"/>
  <c r="O402" i="2"/>
  <c r="E403" i="2"/>
  <c r="H403" i="2"/>
  <c r="J403" i="2"/>
  <c r="L403" i="2"/>
  <c r="M403" i="2"/>
  <c r="N403" i="2"/>
  <c r="O403" i="2"/>
  <c r="E404" i="2"/>
  <c r="H404" i="2"/>
  <c r="J404" i="2"/>
  <c r="L404" i="2"/>
  <c r="M404" i="2"/>
  <c r="N404" i="2"/>
  <c r="O404" i="2"/>
  <c r="E405" i="2"/>
  <c r="H405" i="2"/>
  <c r="J405" i="2"/>
  <c r="L405" i="2"/>
  <c r="M405" i="2"/>
  <c r="N405" i="2"/>
  <c r="O405" i="2"/>
  <c r="E406" i="2"/>
  <c r="H406" i="2"/>
  <c r="J406" i="2"/>
  <c r="L406" i="2"/>
  <c r="M406" i="2"/>
  <c r="N406" i="2"/>
  <c r="O406" i="2"/>
  <c r="E407" i="2"/>
  <c r="H407" i="2"/>
  <c r="J407" i="2"/>
  <c r="L407" i="2"/>
  <c r="M407" i="2"/>
  <c r="N407" i="2"/>
  <c r="O407" i="2"/>
  <c r="E408" i="2"/>
  <c r="H408" i="2"/>
  <c r="J408" i="2"/>
  <c r="L408" i="2"/>
  <c r="M408" i="2"/>
  <c r="N408" i="2"/>
  <c r="O408" i="2"/>
  <c r="E409" i="2"/>
  <c r="H409" i="2"/>
  <c r="J409" i="2"/>
  <c r="L409" i="2"/>
  <c r="M409" i="2"/>
  <c r="N409" i="2"/>
  <c r="O409" i="2"/>
  <c r="E410" i="2"/>
  <c r="H410" i="2"/>
  <c r="J410" i="2"/>
  <c r="L410" i="2"/>
  <c r="M410" i="2"/>
  <c r="N410" i="2"/>
  <c r="O410" i="2"/>
  <c r="E411" i="2"/>
  <c r="H411" i="2"/>
  <c r="J411" i="2"/>
  <c r="L411" i="2"/>
  <c r="M411" i="2"/>
  <c r="N411" i="2"/>
  <c r="O411" i="2"/>
  <c r="E412" i="2"/>
  <c r="H412" i="2"/>
  <c r="J412" i="2"/>
  <c r="L412" i="2"/>
  <c r="M412" i="2"/>
  <c r="N412" i="2"/>
  <c r="O412" i="2"/>
  <c r="E413" i="2"/>
  <c r="H413" i="2"/>
  <c r="J413" i="2"/>
  <c r="L413" i="2"/>
  <c r="M413" i="2"/>
  <c r="N413" i="2"/>
  <c r="O413" i="2"/>
  <c r="E414" i="2"/>
  <c r="H414" i="2"/>
  <c r="J414" i="2"/>
  <c r="L414" i="2"/>
  <c r="M414" i="2"/>
  <c r="N414" i="2"/>
  <c r="O414" i="2"/>
  <c r="E415" i="2"/>
  <c r="H415" i="2"/>
  <c r="J415" i="2"/>
  <c r="L415" i="2"/>
  <c r="M415" i="2"/>
  <c r="N415" i="2"/>
  <c r="O415" i="2"/>
  <c r="E416" i="2"/>
  <c r="H416" i="2"/>
  <c r="J416" i="2"/>
  <c r="L416" i="2"/>
  <c r="M416" i="2"/>
  <c r="N416" i="2"/>
  <c r="O416" i="2"/>
  <c r="E417" i="2"/>
  <c r="H417" i="2"/>
  <c r="J417" i="2"/>
  <c r="L417" i="2"/>
  <c r="M417" i="2"/>
  <c r="N417" i="2"/>
  <c r="O417" i="2"/>
  <c r="E418" i="2"/>
  <c r="H418" i="2"/>
  <c r="J418" i="2"/>
  <c r="L418" i="2"/>
  <c r="M418" i="2"/>
  <c r="N418" i="2"/>
  <c r="O418" i="2"/>
  <c r="E419" i="2"/>
  <c r="H419" i="2"/>
  <c r="J419" i="2"/>
  <c r="L419" i="2"/>
  <c r="M419" i="2"/>
  <c r="N419" i="2"/>
  <c r="O419" i="2"/>
  <c r="E420" i="2"/>
  <c r="H420" i="2"/>
  <c r="J420" i="2"/>
  <c r="L420" i="2"/>
  <c r="M420" i="2"/>
  <c r="N420" i="2"/>
  <c r="O420" i="2"/>
  <c r="E421" i="2"/>
  <c r="H421" i="2"/>
  <c r="J421" i="2"/>
  <c r="L421" i="2"/>
  <c r="M421" i="2"/>
  <c r="N421" i="2"/>
  <c r="O421" i="2"/>
  <c r="E422" i="2"/>
  <c r="H422" i="2"/>
  <c r="J422" i="2"/>
  <c r="L422" i="2"/>
  <c r="M422" i="2"/>
  <c r="N422" i="2"/>
  <c r="O422" i="2"/>
  <c r="E423" i="2"/>
  <c r="H423" i="2"/>
  <c r="J423" i="2"/>
  <c r="L423" i="2"/>
  <c r="M423" i="2"/>
  <c r="N423" i="2"/>
  <c r="O423" i="2"/>
  <c r="E424" i="2"/>
  <c r="H424" i="2"/>
  <c r="J424" i="2"/>
  <c r="L424" i="2"/>
  <c r="M424" i="2"/>
  <c r="N424" i="2"/>
  <c r="O424" i="2"/>
  <c r="E425" i="2"/>
  <c r="H425" i="2"/>
  <c r="J425" i="2"/>
  <c r="L425" i="2"/>
  <c r="M425" i="2"/>
  <c r="N425" i="2"/>
  <c r="O425" i="2"/>
  <c r="E426" i="2"/>
  <c r="H426" i="2"/>
  <c r="J426" i="2"/>
  <c r="L426" i="2"/>
  <c r="M426" i="2"/>
  <c r="N426" i="2"/>
  <c r="O426" i="2"/>
  <c r="E427" i="2"/>
  <c r="H427" i="2"/>
  <c r="J427" i="2"/>
  <c r="L427" i="2"/>
  <c r="M427" i="2"/>
  <c r="N427" i="2"/>
  <c r="O427" i="2"/>
  <c r="E428" i="2"/>
  <c r="H428" i="2"/>
  <c r="J428" i="2"/>
  <c r="L428" i="2"/>
  <c r="M428" i="2"/>
  <c r="N428" i="2"/>
  <c r="O428" i="2"/>
  <c r="E429" i="2"/>
  <c r="H429" i="2"/>
  <c r="J429" i="2"/>
  <c r="L429" i="2"/>
  <c r="M429" i="2"/>
  <c r="N429" i="2"/>
  <c r="O429" i="2"/>
  <c r="E430" i="2"/>
  <c r="H430" i="2"/>
  <c r="J430" i="2"/>
  <c r="L430" i="2"/>
  <c r="M430" i="2"/>
  <c r="N430" i="2"/>
  <c r="O430" i="2"/>
  <c r="E431" i="2"/>
  <c r="H431" i="2"/>
  <c r="J431" i="2"/>
  <c r="L431" i="2"/>
  <c r="M431" i="2"/>
  <c r="N431" i="2"/>
  <c r="O431" i="2"/>
  <c r="E432" i="2"/>
  <c r="H432" i="2"/>
  <c r="J432" i="2"/>
  <c r="L432" i="2"/>
  <c r="M432" i="2"/>
  <c r="N432" i="2"/>
  <c r="O432" i="2"/>
  <c r="E433" i="2"/>
  <c r="H433" i="2"/>
  <c r="J433" i="2"/>
  <c r="L433" i="2"/>
  <c r="M433" i="2"/>
  <c r="N433" i="2"/>
  <c r="O433" i="2"/>
  <c r="E434" i="2"/>
  <c r="H434" i="2"/>
  <c r="J434" i="2"/>
  <c r="L434" i="2"/>
  <c r="M434" i="2"/>
  <c r="N434" i="2"/>
  <c r="O434" i="2"/>
  <c r="E435" i="2"/>
  <c r="H435" i="2"/>
  <c r="J435" i="2"/>
  <c r="L435" i="2"/>
  <c r="M435" i="2"/>
  <c r="N435" i="2"/>
  <c r="O435" i="2"/>
  <c r="E436" i="2"/>
  <c r="H436" i="2"/>
  <c r="J436" i="2"/>
  <c r="L436" i="2"/>
  <c r="M436" i="2"/>
  <c r="N436" i="2"/>
  <c r="O436" i="2"/>
  <c r="E437" i="2"/>
  <c r="H437" i="2"/>
  <c r="J437" i="2"/>
  <c r="L437" i="2"/>
  <c r="M437" i="2"/>
  <c r="N437" i="2"/>
  <c r="O437" i="2"/>
  <c r="E438" i="2"/>
  <c r="H438" i="2"/>
  <c r="J438" i="2"/>
  <c r="L438" i="2"/>
  <c r="M438" i="2"/>
  <c r="N438" i="2"/>
  <c r="O438" i="2"/>
  <c r="E439" i="2"/>
  <c r="H439" i="2"/>
  <c r="J439" i="2"/>
  <c r="L439" i="2"/>
  <c r="M439" i="2"/>
  <c r="N439" i="2"/>
  <c r="O439" i="2"/>
  <c r="E440" i="2"/>
  <c r="H440" i="2"/>
  <c r="J440" i="2"/>
  <c r="L440" i="2"/>
  <c r="M440" i="2"/>
  <c r="N440" i="2"/>
  <c r="O440" i="2"/>
  <c r="E441" i="2"/>
  <c r="H441" i="2"/>
  <c r="J441" i="2"/>
  <c r="L441" i="2"/>
  <c r="M441" i="2"/>
  <c r="N441" i="2"/>
  <c r="O441" i="2"/>
  <c r="E442" i="2"/>
  <c r="H442" i="2"/>
  <c r="J442" i="2"/>
  <c r="L442" i="2"/>
  <c r="M442" i="2"/>
  <c r="N442" i="2"/>
  <c r="O442" i="2"/>
  <c r="E443" i="2"/>
  <c r="H443" i="2"/>
  <c r="J443" i="2"/>
  <c r="L443" i="2"/>
  <c r="M443" i="2"/>
  <c r="N443" i="2"/>
  <c r="O443" i="2"/>
  <c r="E444" i="2"/>
  <c r="H444" i="2"/>
  <c r="J444" i="2"/>
  <c r="L444" i="2"/>
  <c r="M444" i="2"/>
  <c r="N444" i="2"/>
  <c r="O444" i="2"/>
  <c r="E445" i="2"/>
  <c r="H445" i="2"/>
  <c r="J445" i="2"/>
  <c r="L445" i="2"/>
  <c r="M445" i="2"/>
  <c r="N445" i="2"/>
  <c r="O445" i="2"/>
  <c r="E446" i="2"/>
  <c r="H446" i="2"/>
  <c r="J446" i="2"/>
  <c r="L446" i="2"/>
  <c r="M446" i="2"/>
  <c r="N446" i="2"/>
  <c r="O446" i="2"/>
  <c r="E447" i="2"/>
  <c r="H447" i="2"/>
  <c r="J447" i="2"/>
  <c r="L447" i="2"/>
  <c r="M447" i="2"/>
  <c r="N447" i="2"/>
  <c r="O447" i="2"/>
  <c r="E448" i="2"/>
  <c r="H448" i="2"/>
  <c r="J448" i="2"/>
  <c r="L448" i="2"/>
  <c r="M448" i="2"/>
  <c r="N448" i="2"/>
  <c r="O448" i="2"/>
  <c r="E449" i="2"/>
  <c r="H449" i="2"/>
  <c r="J449" i="2"/>
  <c r="L449" i="2"/>
  <c r="M449" i="2"/>
  <c r="N449" i="2"/>
  <c r="O449" i="2"/>
  <c r="E450" i="2"/>
  <c r="H450" i="2"/>
  <c r="J450" i="2"/>
  <c r="L450" i="2"/>
  <c r="M450" i="2"/>
  <c r="N450" i="2"/>
  <c r="O450" i="2"/>
  <c r="E451" i="2"/>
  <c r="H451" i="2"/>
  <c r="J451" i="2"/>
  <c r="L451" i="2"/>
  <c r="M451" i="2"/>
  <c r="N451" i="2"/>
  <c r="O451" i="2"/>
  <c r="E452" i="2"/>
  <c r="H452" i="2"/>
  <c r="J452" i="2"/>
  <c r="L452" i="2"/>
  <c r="M452" i="2"/>
  <c r="N452" i="2"/>
  <c r="O452" i="2"/>
  <c r="E453" i="2"/>
  <c r="H453" i="2"/>
  <c r="J453" i="2"/>
  <c r="L453" i="2"/>
  <c r="M453" i="2"/>
  <c r="N453" i="2"/>
  <c r="O453" i="2"/>
  <c r="E454" i="2"/>
  <c r="H454" i="2"/>
  <c r="J454" i="2"/>
  <c r="L454" i="2"/>
  <c r="M454" i="2"/>
  <c r="N454" i="2"/>
  <c r="O454" i="2"/>
  <c r="E455" i="2"/>
  <c r="H455" i="2"/>
  <c r="J455" i="2"/>
  <c r="L455" i="2"/>
  <c r="M455" i="2"/>
  <c r="N455" i="2"/>
  <c r="O455" i="2"/>
  <c r="E456" i="2"/>
  <c r="H456" i="2"/>
  <c r="J456" i="2"/>
  <c r="L456" i="2"/>
  <c r="M456" i="2"/>
  <c r="N456" i="2"/>
  <c r="O456" i="2"/>
  <c r="E457" i="2"/>
  <c r="H457" i="2"/>
  <c r="J457" i="2"/>
  <c r="L457" i="2"/>
  <c r="M457" i="2"/>
  <c r="N457" i="2"/>
  <c r="O457" i="2"/>
  <c r="E458" i="2"/>
  <c r="H458" i="2"/>
  <c r="J458" i="2"/>
  <c r="L458" i="2"/>
  <c r="M458" i="2"/>
  <c r="N458" i="2"/>
  <c r="O458" i="2"/>
  <c r="E459" i="2"/>
  <c r="H459" i="2"/>
  <c r="J459" i="2"/>
  <c r="L459" i="2"/>
  <c r="M459" i="2"/>
  <c r="N459" i="2"/>
  <c r="O459" i="2"/>
  <c r="E460" i="2"/>
  <c r="H460" i="2"/>
  <c r="J460" i="2"/>
  <c r="L460" i="2"/>
  <c r="M460" i="2"/>
  <c r="N460" i="2"/>
  <c r="O460" i="2"/>
  <c r="E461" i="2"/>
  <c r="H461" i="2"/>
  <c r="J461" i="2"/>
  <c r="L461" i="2"/>
  <c r="M461" i="2"/>
  <c r="N461" i="2"/>
  <c r="O461" i="2"/>
  <c r="E462" i="2"/>
  <c r="H462" i="2"/>
  <c r="J462" i="2"/>
  <c r="L462" i="2"/>
  <c r="M462" i="2"/>
  <c r="N462" i="2"/>
  <c r="O462" i="2"/>
  <c r="E463" i="2"/>
  <c r="H463" i="2"/>
  <c r="J463" i="2"/>
  <c r="L463" i="2"/>
  <c r="M463" i="2"/>
  <c r="N463" i="2"/>
  <c r="O463" i="2"/>
  <c r="E464" i="2"/>
  <c r="H464" i="2"/>
  <c r="J464" i="2"/>
  <c r="L464" i="2"/>
  <c r="M464" i="2"/>
  <c r="N464" i="2"/>
  <c r="O464" i="2"/>
  <c r="E465" i="2"/>
  <c r="H465" i="2"/>
  <c r="J465" i="2"/>
  <c r="L465" i="2"/>
  <c r="M465" i="2"/>
  <c r="N465" i="2"/>
  <c r="O465" i="2"/>
  <c r="E466" i="2"/>
  <c r="H466" i="2"/>
  <c r="J466" i="2"/>
  <c r="L466" i="2"/>
  <c r="M466" i="2"/>
  <c r="N466" i="2"/>
  <c r="O466" i="2"/>
  <c r="E467" i="2"/>
  <c r="H467" i="2"/>
  <c r="J467" i="2"/>
  <c r="L467" i="2"/>
  <c r="M467" i="2"/>
  <c r="N467" i="2"/>
  <c r="O467" i="2"/>
  <c r="E468" i="2"/>
  <c r="H468" i="2"/>
  <c r="J468" i="2"/>
  <c r="L468" i="2"/>
  <c r="M468" i="2"/>
  <c r="N468" i="2"/>
  <c r="O468" i="2"/>
  <c r="E469" i="2"/>
  <c r="H469" i="2"/>
  <c r="J469" i="2"/>
  <c r="L469" i="2"/>
  <c r="M469" i="2"/>
  <c r="N469" i="2"/>
  <c r="O469" i="2"/>
  <c r="E470" i="2"/>
  <c r="H470" i="2"/>
  <c r="J470" i="2"/>
  <c r="L470" i="2"/>
  <c r="M470" i="2"/>
  <c r="N470" i="2"/>
  <c r="O470" i="2"/>
  <c r="E471" i="2"/>
  <c r="H471" i="2"/>
  <c r="J471" i="2"/>
  <c r="L471" i="2"/>
  <c r="M471" i="2"/>
  <c r="N471" i="2"/>
  <c r="O471" i="2"/>
  <c r="E472" i="2"/>
  <c r="H472" i="2"/>
  <c r="J472" i="2"/>
  <c r="L472" i="2"/>
  <c r="M472" i="2"/>
  <c r="N472" i="2"/>
  <c r="O472" i="2"/>
  <c r="E473" i="2"/>
  <c r="H473" i="2"/>
  <c r="J473" i="2"/>
  <c r="L473" i="2"/>
  <c r="M473" i="2"/>
  <c r="N473" i="2"/>
  <c r="O473" i="2"/>
  <c r="E474" i="2"/>
  <c r="H474" i="2"/>
  <c r="J474" i="2"/>
  <c r="L474" i="2"/>
  <c r="M474" i="2"/>
  <c r="N474" i="2"/>
  <c r="O474" i="2"/>
  <c r="E475" i="2"/>
  <c r="H475" i="2"/>
  <c r="J475" i="2"/>
  <c r="L475" i="2"/>
  <c r="M475" i="2"/>
  <c r="N475" i="2"/>
  <c r="O475" i="2"/>
  <c r="E476" i="2"/>
  <c r="H476" i="2"/>
  <c r="J476" i="2"/>
  <c r="L476" i="2"/>
  <c r="M476" i="2"/>
  <c r="N476" i="2"/>
  <c r="O476" i="2"/>
  <c r="E477" i="2"/>
  <c r="H477" i="2"/>
  <c r="J477" i="2"/>
  <c r="L477" i="2"/>
  <c r="M477" i="2"/>
  <c r="N477" i="2"/>
  <c r="O477" i="2"/>
  <c r="E478" i="2"/>
  <c r="H478" i="2"/>
  <c r="J478" i="2"/>
  <c r="L478" i="2"/>
  <c r="M478" i="2"/>
  <c r="N478" i="2"/>
  <c r="O478" i="2"/>
  <c r="E479" i="2"/>
  <c r="H479" i="2"/>
  <c r="J479" i="2"/>
  <c r="L479" i="2"/>
  <c r="M479" i="2"/>
  <c r="N479" i="2"/>
  <c r="O479" i="2"/>
  <c r="E480" i="2"/>
  <c r="H480" i="2"/>
  <c r="J480" i="2"/>
  <c r="L480" i="2"/>
  <c r="M480" i="2"/>
  <c r="N480" i="2"/>
  <c r="O480" i="2"/>
  <c r="E481" i="2"/>
  <c r="H481" i="2"/>
  <c r="J481" i="2"/>
  <c r="L481" i="2"/>
  <c r="M481" i="2"/>
  <c r="N481" i="2"/>
  <c r="O481" i="2"/>
  <c r="E482" i="2"/>
  <c r="H482" i="2"/>
  <c r="J482" i="2"/>
  <c r="L482" i="2"/>
  <c r="M482" i="2"/>
  <c r="N482" i="2"/>
  <c r="O482" i="2"/>
  <c r="E483" i="2"/>
  <c r="H483" i="2"/>
  <c r="J483" i="2"/>
  <c r="L483" i="2"/>
  <c r="M483" i="2"/>
  <c r="N483" i="2"/>
  <c r="O483" i="2"/>
  <c r="E484" i="2"/>
  <c r="H484" i="2"/>
  <c r="J484" i="2"/>
  <c r="L484" i="2"/>
  <c r="M484" i="2"/>
  <c r="N484" i="2"/>
  <c r="O484" i="2"/>
  <c r="E485" i="2"/>
  <c r="H485" i="2"/>
  <c r="J485" i="2"/>
  <c r="L485" i="2"/>
  <c r="M485" i="2"/>
  <c r="N485" i="2"/>
  <c r="O485" i="2"/>
  <c r="E486" i="2"/>
  <c r="H486" i="2"/>
  <c r="J486" i="2"/>
  <c r="L486" i="2"/>
  <c r="M486" i="2"/>
  <c r="N486" i="2"/>
  <c r="O486" i="2"/>
  <c r="E487" i="2"/>
  <c r="H487" i="2"/>
  <c r="J487" i="2"/>
  <c r="L487" i="2"/>
  <c r="M487" i="2"/>
  <c r="N487" i="2"/>
  <c r="O487" i="2"/>
  <c r="E488" i="2"/>
  <c r="H488" i="2"/>
  <c r="J488" i="2"/>
  <c r="L488" i="2"/>
  <c r="M488" i="2"/>
  <c r="N488" i="2"/>
  <c r="O488" i="2"/>
  <c r="E489" i="2"/>
  <c r="H489" i="2"/>
  <c r="J489" i="2"/>
  <c r="L489" i="2"/>
  <c r="M489" i="2"/>
  <c r="N489" i="2"/>
  <c r="O489" i="2"/>
  <c r="E490" i="2"/>
  <c r="H490" i="2"/>
  <c r="J490" i="2"/>
  <c r="L490" i="2"/>
  <c r="M490" i="2"/>
  <c r="N490" i="2"/>
  <c r="O490" i="2"/>
  <c r="E491" i="2"/>
  <c r="H491" i="2"/>
  <c r="J491" i="2"/>
  <c r="L491" i="2"/>
  <c r="M491" i="2"/>
  <c r="N491" i="2"/>
  <c r="O491" i="2"/>
  <c r="E492" i="2"/>
  <c r="H492" i="2"/>
  <c r="J492" i="2"/>
  <c r="L492" i="2"/>
  <c r="M492" i="2"/>
  <c r="N492" i="2"/>
  <c r="O492" i="2"/>
  <c r="E493" i="2"/>
  <c r="H493" i="2"/>
  <c r="J493" i="2"/>
  <c r="L493" i="2"/>
  <c r="M493" i="2"/>
  <c r="N493" i="2"/>
  <c r="O493" i="2"/>
  <c r="E494" i="2"/>
  <c r="H494" i="2"/>
  <c r="J494" i="2"/>
  <c r="L494" i="2"/>
  <c r="M494" i="2"/>
  <c r="N494" i="2"/>
  <c r="O494" i="2"/>
  <c r="E495" i="2"/>
  <c r="H495" i="2"/>
  <c r="J495" i="2"/>
  <c r="L495" i="2"/>
  <c r="M495" i="2"/>
  <c r="N495" i="2"/>
  <c r="O495" i="2"/>
  <c r="E496" i="2"/>
  <c r="H496" i="2"/>
  <c r="J496" i="2"/>
  <c r="L496" i="2"/>
  <c r="M496" i="2"/>
  <c r="N496" i="2"/>
  <c r="O496" i="2"/>
  <c r="E497" i="2"/>
  <c r="H497" i="2"/>
  <c r="J497" i="2"/>
  <c r="L497" i="2"/>
  <c r="M497" i="2"/>
  <c r="N497" i="2"/>
  <c r="O497" i="2"/>
  <c r="E498" i="2"/>
  <c r="H498" i="2"/>
  <c r="J498" i="2"/>
  <c r="L498" i="2"/>
  <c r="M498" i="2"/>
  <c r="N498" i="2"/>
  <c r="O498" i="2"/>
  <c r="E499" i="2"/>
  <c r="H499" i="2"/>
  <c r="J499" i="2"/>
  <c r="L499" i="2"/>
  <c r="M499" i="2"/>
  <c r="N499" i="2"/>
  <c r="O499" i="2"/>
  <c r="E500" i="2"/>
  <c r="H500" i="2"/>
  <c r="J500" i="2"/>
  <c r="L500" i="2"/>
  <c r="M500" i="2"/>
  <c r="N500" i="2"/>
  <c r="O500" i="2"/>
  <c r="E501" i="2"/>
  <c r="H501" i="2"/>
  <c r="J501" i="2"/>
  <c r="L501" i="2"/>
  <c r="M501" i="2"/>
  <c r="N501" i="2"/>
  <c r="O501" i="2"/>
</calcChain>
</file>

<file path=xl/sharedStrings.xml><?xml version="1.0" encoding="utf-8"?>
<sst xmlns="http://schemas.openxmlformats.org/spreadsheetml/2006/main" count="2433" uniqueCount="285">
  <si>
    <t>Y</t>
  </si>
  <si>
    <t>Yes</t>
  </si>
  <si>
    <t>Incomplete info</t>
  </si>
  <si>
    <t>Communication Delay</t>
  </si>
  <si>
    <t>CMP-1011</t>
  </si>
  <si>
    <t>Multiple follow-ups required</t>
  </si>
  <si>
    <t>Training gap</t>
  </si>
  <si>
    <t>BILLING ISSUE</t>
  </si>
  <si>
    <t>CMP-1062</t>
  </si>
  <si>
    <t>N</t>
  </si>
  <si>
    <t xml:space="preserve">Policy Update </t>
  </si>
  <si>
    <t>CMP-1236</t>
  </si>
  <si>
    <t xml:space="preserve">no </t>
  </si>
  <si>
    <t>CMP-1213</t>
  </si>
  <si>
    <t>CMP-1185</t>
  </si>
  <si>
    <t>Issue not resolved</t>
  </si>
  <si>
    <t>No</t>
  </si>
  <si>
    <t>CMP-1238</t>
  </si>
  <si>
    <t>Manual error</t>
  </si>
  <si>
    <t>doc error</t>
  </si>
  <si>
    <t>CMP-1053</t>
  </si>
  <si>
    <t>System issue</t>
  </si>
  <si>
    <t>Billing issue</t>
  </si>
  <si>
    <t>CMP-1186</t>
  </si>
  <si>
    <t>billing Issue</t>
  </si>
  <si>
    <t>CMP-1019</t>
  </si>
  <si>
    <t>CMP-1032</t>
  </si>
  <si>
    <t>Service delay</t>
  </si>
  <si>
    <t>CMP-1179</t>
  </si>
  <si>
    <t>Customer unhappy with delay</t>
  </si>
  <si>
    <t>CMP-1123</t>
  </si>
  <si>
    <t>CMP-1104</t>
  </si>
  <si>
    <t>CMP-1098</t>
  </si>
  <si>
    <t>Policy update</t>
  </si>
  <si>
    <t>CMP-1221</t>
  </si>
  <si>
    <t>Documentation error</t>
  </si>
  <si>
    <t>CMP-1145</t>
  </si>
  <si>
    <t>CMP-1153</t>
  </si>
  <si>
    <t>CMP-1133</t>
  </si>
  <si>
    <t>CMP-1288</t>
  </si>
  <si>
    <t>CMP-1210</t>
  </si>
  <si>
    <t>CMP-1201</t>
  </si>
  <si>
    <t>CMP-1100</t>
  </si>
  <si>
    <t>CMP-1111</t>
  </si>
  <si>
    <t>communication delay</t>
  </si>
  <si>
    <t>CMP-1143</t>
  </si>
  <si>
    <t>CMP-1035</t>
  </si>
  <si>
    <t xml:space="preserve">yes </t>
  </si>
  <si>
    <t>CMP-1097</t>
  </si>
  <si>
    <t>CMP-1067</t>
  </si>
  <si>
    <t>CMP-1063</t>
  </si>
  <si>
    <t>CMP-1268</t>
  </si>
  <si>
    <t>CMP-1214</t>
  </si>
  <si>
    <t>CMP-1281</t>
  </si>
  <si>
    <t>CMP-1141</t>
  </si>
  <si>
    <t>CMP-1296</t>
  </si>
  <si>
    <t>CMP-1060</t>
  </si>
  <si>
    <t>CMP-1170</t>
  </si>
  <si>
    <t>CMP-1021</t>
  </si>
  <si>
    <t>CMP-1007</t>
  </si>
  <si>
    <t>CMP-1263</t>
  </si>
  <si>
    <t>CMP-1116</t>
  </si>
  <si>
    <t>CMP-1219</t>
  </si>
  <si>
    <t>CMP-1131</t>
  </si>
  <si>
    <t>CMP-1027</t>
  </si>
  <si>
    <t>CMP-1044</t>
  </si>
  <si>
    <t>CMP-1191</t>
  </si>
  <si>
    <t>CMP-1287</t>
  </si>
  <si>
    <t>CMP-1150</t>
  </si>
  <si>
    <t>CMP-1057</t>
  </si>
  <si>
    <t>CMP-1230</t>
  </si>
  <si>
    <t>CMP-1149</t>
  </si>
  <si>
    <t>CMP-1211</t>
  </si>
  <si>
    <t>CMP-1054</t>
  </si>
  <si>
    <t>CMP-1257</t>
  </si>
  <si>
    <t>CMP-1232</t>
  </si>
  <si>
    <t>CMP-1273</t>
  </si>
  <si>
    <t>CMP-1226</t>
  </si>
  <si>
    <t>CMP-1096</t>
  </si>
  <si>
    <t>CMP-1234</t>
  </si>
  <si>
    <t>CMP-1270</t>
  </si>
  <si>
    <t>CMP-1105</t>
  </si>
  <si>
    <t>CMP-1161</t>
  </si>
  <si>
    <t>CMP-1216</t>
  </si>
  <si>
    <t>CMP-1247</t>
  </si>
  <si>
    <t>CMP-1005</t>
  </si>
  <si>
    <t>CMP-1038</t>
  </si>
  <si>
    <t>CMP-1124</t>
  </si>
  <si>
    <t>CMP-1080</t>
  </si>
  <si>
    <t>CMP-1056</t>
  </si>
  <si>
    <t>CMP-1225</t>
  </si>
  <si>
    <t>CMP-1083</t>
  </si>
  <si>
    <t>CMP-1126</t>
  </si>
  <si>
    <t>CMP-1009</t>
  </si>
  <si>
    <t>CMP-1048</t>
  </si>
  <si>
    <t>CMP-1253</t>
  </si>
  <si>
    <t>CMP-1069</t>
  </si>
  <si>
    <t>CMP-1286</t>
  </si>
  <si>
    <t>CMP-1195</t>
  </si>
  <si>
    <t>CMP-1163</t>
  </si>
  <si>
    <t>CMP-1188</t>
  </si>
  <si>
    <t>CMP-1295</t>
  </si>
  <si>
    <t>CMP-1227</t>
  </si>
  <si>
    <t>CMP-1074</t>
  </si>
  <si>
    <t>CMP-1045</t>
  </si>
  <si>
    <t>CMP-1157</t>
  </si>
  <si>
    <t>CMP-1169</t>
  </si>
  <si>
    <t>CMP-1077</t>
  </si>
  <si>
    <t>CMP-1047</t>
  </si>
  <si>
    <t>CMP-1166</t>
  </si>
  <si>
    <t>CMP-1013</t>
  </si>
  <si>
    <t>CMP-1042</t>
  </si>
  <si>
    <t>CMP-1140</t>
  </si>
  <si>
    <t>CMP-1144</t>
  </si>
  <si>
    <t>CMP-1004</t>
  </si>
  <si>
    <t>CMP-1114</t>
  </si>
  <si>
    <t>CMP-1289</t>
  </si>
  <si>
    <t>CMP-1135</t>
  </si>
  <si>
    <t>CMP-1033</t>
  </si>
  <si>
    <t>CMP-1251</t>
  </si>
  <si>
    <t>CMP-1159</t>
  </si>
  <si>
    <t>CMP-1208</t>
  </si>
  <si>
    <t>CMP-1278</t>
  </si>
  <si>
    <t>CMP-1040</t>
  </si>
  <si>
    <t>CMP-1023</t>
  </si>
  <si>
    <t>CMP-1046</t>
  </si>
  <si>
    <t>CMP-1206</t>
  </si>
  <si>
    <t>CMP-1245</t>
  </si>
  <si>
    <t>CMP-1290</t>
  </si>
  <si>
    <t>CMP-1094</t>
  </si>
  <si>
    <t>CMP-1128</t>
  </si>
  <si>
    <t>CMP-1168</t>
  </si>
  <si>
    <t>CMP-1139</t>
  </si>
  <si>
    <t>CMP-1102</t>
  </si>
  <si>
    <t>CMP-1001</t>
  </si>
  <si>
    <t>CMP-1297</t>
  </si>
  <si>
    <t>CMP-1266</t>
  </si>
  <si>
    <t>CMP-1294</t>
  </si>
  <si>
    <t>CMP-1164</t>
  </si>
  <si>
    <t>CMP-1242</t>
  </si>
  <si>
    <t>CMP-1180</t>
  </si>
  <si>
    <t>CMP-1279</t>
  </si>
  <si>
    <t>CMP-1291</t>
  </si>
  <si>
    <t>CMP-1293</t>
  </si>
  <si>
    <t>CMP-1204</t>
  </si>
  <si>
    <t>CMP-1006</t>
  </si>
  <si>
    <t>CMP-1136</t>
  </si>
  <si>
    <t>CMP-1235</t>
  </si>
  <si>
    <t>CMP-1160</t>
  </si>
  <si>
    <t>CMP-1084</t>
  </si>
  <si>
    <t>CMP-1137</t>
  </si>
  <si>
    <t>CMP-1276</t>
  </si>
  <si>
    <t>CMP-1036</t>
  </si>
  <si>
    <t>CMP-1218</t>
  </si>
  <si>
    <t>CMP-1081</t>
  </si>
  <si>
    <t>CMP-1072</t>
  </si>
  <si>
    <t>CMP-1017</t>
  </si>
  <si>
    <t>CMP-1252</t>
  </si>
  <si>
    <t>CMP-1167</t>
  </si>
  <si>
    <t>CMP-1265</t>
  </si>
  <si>
    <t>CMP-1087</t>
  </si>
  <si>
    <t>CMP-1209</t>
  </si>
  <si>
    <t>CMP-1052</t>
  </si>
  <si>
    <t>CMP-1177</t>
  </si>
  <si>
    <t>CMP-1115</t>
  </si>
  <si>
    <t>CMP-1205</t>
  </si>
  <si>
    <t>CMP-1183</t>
  </si>
  <si>
    <t>CMP-1165</t>
  </si>
  <si>
    <t>CMP-1079</t>
  </si>
  <si>
    <t>CMP-1178</t>
  </si>
  <si>
    <t>CMP-1237</t>
  </si>
  <si>
    <t>CMP-1050</t>
  </si>
  <si>
    <t>CMP-1200</t>
  </si>
  <si>
    <t>CMP-1066</t>
  </si>
  <si>
    <t>CMP-1239</t>
  </si>
  <si>
    <t>CMP-1223</t>
  </si>
  <si>
    <t>CMP-1029</t>
  </si>
  <si>
    <t>CMP-1132</t>
  </si>
  <si>
    <t>CMP-1250</t>
  </si>
  <si>
    <t>CMP-1282</t>
  </si>
  <si>
    <t>CMP-1147</t>
  </si>
  <si>
    <t>CMP-1016</t>
  </si>
  <si>
    <t>CMP-1300</t>
  </si>
  <si>
    <t>CMP-1026</t>
  </si>
  <si>
    <t>CMP-1292</t>
  </si>
  <si>
    <t>CMP-1010</t>
  </si>
  <si>
    <t>CMP-1231</t>
  </si>
  <si>
    <t>CMP-1158</t>
  </si>
  <si>
    <t>CMP-1142</t>
  </si>
  <si>
    <t>CMP-1025</t>
  </si>
  <si>
    <t>CMP-1241</t>
  </si>
  <si>
    <t>CMP-1055</t>
  </si>
  <si>
    <t>CMP-1070</t>
  </si>
  <si>
    <t>CMP-1018</t>
  </si>
  <si>
    <t>CMP-1154</t>
  </si>
  <si>
    <t>CMP-1212</t>
  </si>
  <si>
    <t>CMP-1034</t>
  </si>
  <si>
    <t>CMP-1022</t>
  </si>
  <si>
    <t>CMP-1085</t>
  </si>
  <si>
    <t>CMP-1256</t>
  </si>
  <si>
    <t>CMP-1051</t>
  </si>
  <si>
    <t>CMP-1274</t>
  </si>
  <si>
    <t>CMP-1264</t>
  </si>
  <si>
    <t>CMP-1220</t>
  </si>
  <si>
    <t>CMP-1222</t>
  </si>
  <si>
    <t>CMP-1248</t>
  </si>
  <si>
    <t>CMP-1031</t>
  </si>
  <si>
    <t>CMP-1091</t>
  </si>
  <si>
    <t>CMP-1262</t>
  </si>
  <si>
    <t>CMP-1075</t>
  </si>
  <si>
    <t>CMP-1259</t>
  </si>
  <si>
    <t>CMP-1258</t>
  </si>
  <si>
    <t>CMP-1064</t>
  </si>
  <si>
    <t>CMP-1175</t>
  </si>
  <si>
    <t>CMP-1181</t>
  </si>
  <si>
    <t>CMP-1228</t>
  </si>
  <si>
    <t>CMP-1089</t>
  </si>
  <si>
    <t>CMP-1283</t>
  </si>
  <si>
    <t>CMP-1065</t>
  </si>
  <si>
    <t>CMP-1112</t>
  </si>
  <si>
    <t>CMP-1103</t>
  </si>
  <si>
    <t>CMP-1127</t>
  </si>
  <si>
    <t>CMP-1020</t>
  </si>
  <si>
    <t>CMP-1233</t>
  </si>
  <si>
    <t>CMP-1173</t>
  </si>
  <si>
    <t>CMP-1125</t>
  </si>
  <si>
    <t>CMP-1246</t>
  </si>
  <si>
    <t>CMP-1277</t>
  </si>
  <si>
    <t>CMP-1043</t>
  </si>
  <si>
    <t>CMP-1120</t>
  </si>
  <si>
    <t>CMP-1254</t>
  </si>
  <si>
    <t>CMP-1156</t>
  </si>
  <si>
    <t>CMP-1106</t>
  </si>
  <si>
    <t>CMP-1090</t>
  </si>
  <si>
    <t>CMP-1071</t>
  </si>
  <si>
    <t>CMP-1255</t>
  </si>
  <si>
    <t>CMP-1099</t>
  </si>
  <si>
    <t>CMP-1199</t>
  </si>
  <si>
    <t>CMP-1095</t>
  </si>
  <si>
    <t>CMP-1229</t>
  </si>
  <si>
    <t>CMP-1269</t>
  </si>
  <si>
    <t>CMP-1117</t>
  </si>
  <si>
    <t>CMP-1187</t>
  </si>
  <si>
    <t>CMP-1192</t>
  </si>
  <si>
    <t>CMP-1119</t>
  </si>
  <si>
    <t>CMP-1284</t>
  </si>
  <si>
    <t>CMP-1182</t>
  </si>
  <si>
    <t>CMP-1086</t>
  </si>
  <si>
    <t>CMP-1093</t>
  </si>
  <si>
    <t>CMP-1068</t>
  </si>
  <si>
    <t>CMP-1108</t>
  </si>
  <si>
    <t>CMP-1008</t>
  </si>
  <si>
    <t>CMP-1224</t>
  </si>
  <si>
    <t>CMP-1215</t>
  </si>
  <si>
    <t>CMP-1174</t>
  </si>
  <si>
    <t>CMP-1092</t>
  </si>
  <si>
    <t>CMP-1260</t>
  </si>
  <si>
    <t>CMP-1129</t>
  </si>
  <si>
    <t>CMP-1041</t>
  </si>
  <si>
    <t>CMP-1171</t>
  </si>
  <si>
    <t>CMP-1003</t>
  </si>
  <si>
    <t>CMP-1189</t>
  </si>
  <si>
    <t>CMP-1249</t>
  </si>
  <si>
    <t>CMP-1109</t>
  </si>
  <si>
    <t>CMP-1146</t>
  </si>
  <si>
    <t>CMP-1243</t>
  </si>
  <si>
    <t>CMP-1088</t>
  </si>
  <si>
    <t>CMP-1076</t>
  </si>
  <si>
    <t>CMP-1280</t>
  </si>
  <si>
    <t>CMP-1037</t>
  </si>
  <si>
    <t>complaint_month_date</t>
  </si>
  <si>
    <t>complaint_month</t>
  </si>
  <si>
    <t>resolution_time_days</t>
  </si>
  <si>
    <t>is_open_complaint</t>
  </si>
  <si>
    <t>customer_notes</t>
  </si>
  <si>
    <t>repeat_complaint_clean</t>
  </si>
  <si>
    <t>repeat_flag</t>
  </si>
  <si>
    <t>sla_met_clean</t>
  </si>
  <si>
    <t>sla_flag</t>
  </si>
  <si>
    <t>rootcause</t>
  </si>
  <si>
    <t>normalized_category</t>
  </si>
  <si>
    <t>complaint_category</t>
  </si>
  <si>
    <t>date_closed</t>
  </si>
  <si>
    <t>date_received</t>
  </si>
  <si>
    <t>complaint_id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</si>
</sst>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164" fontId="1" fillId="0" borderId="0" xfId="1" applyNumberFormat="1"/>
    <xf numFmtId="14" fontId="1" fillId="0" borderId="0" xfId="1" applyNumberFormat="1"/>
    <xf numFmtId="164" fontId="2" fillId="0" borderId="0" xfId="1" applyNumberFormat="1" applyFont="1"/>
    <xf numFmtId="0" fontId="2" fillId="0" borderId="0" xfId="1" applyFont="1"/>
  </cellXfs>
  <cellStyles count="2">
    <cellStyle name="Normal" xfId="0" builtinId="0"/>
    <cellStyle name="Normal 2" xfId="1" xr:uid="{73B60DB9-7E53-604C-9E55-09997A5C3E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6823-AF14-8F4B-8942-CB2C9DBFC8D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A55B-F6EC-5C4C-8820-6DD8FC3E6B8E}">
  <dimension ref="A1:O501"/>
  <sheetViews>
    <sheetView tabSelected="1" zoomScale="130" zoomScaleNormal="130" workbookViewId="0">
      <selection activeCell="D19" sqref="D19"/>
    </sheetView>
  </sheetViews>
  <sheetFormatPr baseColWidth="10" defaultColWidth="9.33203125" defaultRowHeight="15" x14ac:dyDescent="0.2"/>
  <cols>
    <col min="1" max="1" width="13.83203125" style="1" bestFit="1" customWidth="1"/>
    <col min="2" max="2" width="14.1640625" style="3" bestFit="1" customWidth="1"/>
    <col min="3" max="3" width="12.6640625" style="3" bestFit="1" customWidth="1"/>
    <col min="4" max="4" width="19" style="1" bestFit="1" customWidth="1"/>
    <col min="5" max="5" width="20.33203125" style="1" bestFit="1" customWidth="1"/>
    <col min="6" max="6" width="13.1640625" style="1" bestFit="1" customWidth="1"/>
    <col min="7" max="7" width="9.1640625" style="1" bestFit="1" customWidth="1"/>
    <col min="8" max="8" width="14.6640625" style="1" bestFit="1" customWidth="1"/>
    <col min="9" max="9" width="12" style="1" bestFit="1" customWidth="1"/>
    <col min="10" max="10" width="22.6640625" style="1" bestFit="1" customWidth="1"/>
    <col min="11" max="11" width="24" style="1" bestFit="1" customWidth="1"/>
    <col min="12" max="12" width="18.33203125" style="1" bestFit="1" customWidth="1"/>
    <col min="13" max="13" width="20.5" style="1" bestFit="1" customWidth="1"/>
    <col min="14" max="14" width="17.5" style="1" bestFit="1" customWidth="1"/>
    <col min="15" max="15" width="22" style="2" bestFit="1" customWidth="1"/>
    <col min="16" max="16384" width="9.33203125" style="1"/>
  </cols>
  <sheetData>
    <row r="1" spans="1:15" x14ac:dyDescent="0.2">
      <c r="A1" s="1" t="s">
        <v>284</v>
      </c>
      <c r="B1" s="3" t="s">
        <v>283</v>
      </c>
      <c r="C1" s="3" t="s">
        <v>282</v>
      </c>
      <c r="D1" s="1" t="s">
        <v>281</v>
      </c>
      <c r="E1" s="5" t="s">
        <v>280</v>
      </c>
      <c r="F1" s="1" t="s">
        <v>279</v>
      </c>
      <c r="G1" s="1" t="s">
        <v>278</v>
      </c>
      <c r="H1" s="5" t="s">
        <v>277</v>
      </c>
      <c r="I1" s="1" t="s">
        <v>276</v>
      </c>
      <c r="J1" s="5" t="s">
        <v>275</v>
      </c>
      <c r="K1" s="1" t="s">
        <v>274</v>
      </c>
      <c r="L1" s="5" t="s">
        <v>273</v>
      </c>
      <c r="M1" s="5" t="s">
        <v>272</v>
      </c>
      <c r="N1" s="5" t="s">
        <v>271</v>
      </c>
      <c r="O1" s="4" t="s">
        <v>270</v>
      </c>
    </row>
    <row r="2" spans="1:15" x14ac:dyDescent="0.2">
      <c r="A2" s="1" t="s">
        <v>143</v>
      </c>
      <c r="B2" s="3">
        <v>45726</v>
      </c>
      <c r="C2" s="3">
        <v>45727</v>
      </c>
      <c r="D2" s="1" t="s">
        <v>33</v>
      </c>
      <c r="E2" s="1" t="str">
        <f>UPPER(TRIM(D2))</f>
        <v>POLICY UPDATE</v>
      </c>
      <c r="G2" s="1" t="s">
        <v>12</v>
      </c>
      <c r="H2" s="1" t="str">
        <f>IF(OR(TRIM(G2)="Yes",TRIM(G2)="YES",TRIM(G2)="Y",TRIM(G2)="yes"),"Yes","No")</f>
        <v>No</v>
      </c>
      <c r="I2" s="1" t="s">
        <v>9</v>
      </c>
      <c r="J2" s="1" t="str">
        <f>IF(OR(TRIM(I2)="Yes",TRIM(I2)="YES",TRIM(I2)="Y",TRIM(I2)="yes"),"Yes","No")</f>
        <v>No</v>
      </c>
      <c r="L2" s="1" t="str">
        <f>IF(C2="","Yes","No")</f>
        <v>No</v>
      </c>
      <c r="M2" s="1">
        <f>IF(C2="", "", C2 - B2)</f>
        <v>1</v>
      </c>
      <c r="N2" s="3">
        <f>DATE(YEAR(B2),MONTH(B2),1)</f>
        <v>45717</v>
      </c>
      <c r="O2" s="2">
        <f>DATE(YEAR(B2),MONTH(B2),1)</f>
        <v>45717</v>
      </c>
    </row>
    <row r="3" spans="1:15" x14ac:dyDescent="0.2">
      <c r="A3" s="1" t="s">
        <v>88</v>
      </c>
      <c r="B3" s="3">
        <v>45751</v>
      </c>
      <c r="C3" s="3">
        <v>45770</v>
      </c>
      <c r="D3" s="1" t="s">
        <v>35</v>
      </c>
      <c r="E3" s="1" t="str">
        <f>UPPER(TRIM(D3))</f>
        <v>DOCUMENTATION ERROR</v>
      </c>
      <c r="F3" s="1" t="s">
        <v>18</v>
      </c>
      <c r="G3" s="1" t="s">
        <v>47</v>
      </c>
      <c r="H3" s="1" t="str">
        <f>IF(OR(TRIM(G3)="Yes",TRIM(G3)="YES",TRIM(G3)="Y",TRIM(G3)="yes"),"Yes","No")</f>
        <v>Yes</v>
      </c>
      <c r="I3" s="1" t="s">
        <v>1</v>
      </c>
      <c r="J3" s="1" t="str">
        <f>IF(OR(TRIM(I3)="Yes",TRIM(I3)="YES",TRIM(I3)="Y",TRIM(I3)="yes"),"Yes","No")</f>
        <v>Yes</v>
      </c>
      <c r="K3" s="1" t="s">
        <v>15</v>
      </c>
      <c r="L3" s="1" t="str">
        <f>IF(C3="","Yes","No")</f>
        <v>No</v>
      </c>
      <c r="M3" s="1">
        <f>IF(C3="", "", C3 - B3)</f>
        <v>19</v>
      </c>
      <c r="N3" s="3">
        <f>DATE(YEAR(B3),MONTH(B3),1)</f>
        <v>45748</v>
      </c>
      <c r="O3" s="2">
        <f>DATE(YEAR(B3),MONTH(B3),1)</f>
        <v>45748</v>
      </c>
    </row>
    <row r="4" spans="1:15" x14ac:dyDescent="0.2">
      <c r="A4" s="1" t="s">
        <v>232</v>
      </c>
      <c r="B4" s="3">
        <v>45644</v>
      </c>
      <c r="C4" s="3">
        <v>45653</v>
      </c>
      <c r="D4" s="1" t="s">
        <v>27</v>
      </c>
      <c r="E4" s="1" t="str">
        <f>UPPER(TRIM(D4))</f>
        <v>SERVICE DELAY</v>
      </c>
      <c r="F4" s="1" t="s">
        <v>21</v>
      </c>
      <c r="G4" s="1" t="s">
        <v>0</v>
      </c>
      <c r="H4" s="1" t="str">
        <f>IF(OR(TRIM(G4)="Yes",TRIM(G4)="YES",TRIM(G4)="Y",TRIM(G4)="yes"),"Yes","No")</f>
        <v>Yes</v>
      </c>
      <c r="I4" s="1" t="s">
        <v>1</v>
      </c>
      <c r="J4" s="1" t="str">
        <f>IF(OR(TRIM(I4)="Yes",TRIM(I4)="YES",TRIM(I4)="Y",TRIM(I4)="yes"),"Yes","No")</f>
        <v>Yes</v>
      </c>
      <c r="L4" s="1" t="str">
        <f>IF(C4="","Yes","No")</f>
        <v>No</v>
      </c>
      <c r="M4" s="1">
        <f>IF(C4="", "", C4 - B4)</f>
        <v>9</v>
      </c>
      <c r="N4" s="3">
        <f>DATE(YEAR(B4),MONTH(B4),1)</f>
        <v>45627</v>
      </c>
      <c r="O4" s="2">
        <f>DATE(YEAR(B4),MONTH(B4),1)</f>
        <v>45627</v>
      </c>
    </row>
    <row r="5" spans="1:15" x14ac:dyDescent="0.2">
      <c r="A5" s="1" t="s">
        <v>68</v>
      </c>
      <c r="B5" s="3">
        <v>45585</v>
      </c>
      <c r="C5" s="3">
        <v>45601</v>
      </c>
      <c r="D5" s="1" t="s">
        <v>24</v>
      </c>
      <c r="E5" s="1" t="str">
        <f>UPPER(TRIM(D5))</f>
        <v>BILLING ISSUE</v>
      </c>
      <c r="F5" s="1" t="s">
        <v>6</v>
      </c>
      <c r="G5" s="1" t="s">
        <v>12</v>
      </c>
      <c r="H5" s="1" t="str">
        <f>IF(OR(TRIM(G5)="Yes",TRIM(G5)="YES",TRIM(G5)="Y",TRIM(G5)="yes"),"Yes","No")</f>
        <v>No</v>
      </c>
      <c r="J5" s="1" t="str">
        <f>IF(OR(TRIM(I5)="Yes",TRIM(I5)="YES",TRIM(I5)="Y",TRIM(I5)="yes"),"Yes","No")</f>
        <v>No</v>
      </c>
      <c r="K5" s="1" t="s">
        <v>15</v>
      </c>
      <c r="L5" s="1" t="str">
        <f>IF(C5="","Yes","No")</f>
        <v>No</v>
      </c>
      <c r="M5" s="1">
        <f>IF(C5="", "", C5 - B5)</f>
        <v>16</v>
      </c>
      <c r="N5" s="3">
        <f>DATE(YEAR(B5),MONTH(B5),1)</f>
        <v>45566</v>
      </c>
      <c r="O5" s="2">
        <f>DATE(YEAR(B5),MONTH(B5),1)</f>
        <v>45566</v>
      </c>
    </row>
    <row r="6" spans="1:15" x14ac:dyDescent="0.2">
      <c r="A6" s="1" t="s">
        <v>143</v>
      </c>
      <c r="B6" s="3">
        <v>45621</v>
      </c>
      <c r="C6" s="3">
        <v>45630</v>
      </c>
      <c r="D6" s="1" t="s">
        <v>35</v>
      </c>
      <c r="E6" s="1" t="str">
        <f>UPPER(TRIM(D6))</f>
        <v>DOCUMENTATION ERROR</v>
      </c>
      <c r="F6" s="1" t="s">
        <v>18</v>
      </c>
      <c r="G6" s="1" t="s">
        <v>12</v>
      </c>
      <c r="H6" s="1" t="str">
        <f>IF(OR(TRIM(G6)="Yes",TRIM(G6)="YES",TRIM(G6)="Y",TRIM(G6)="yes"),"Yes","No")</f>
        <v>No</v>
      </c>
      <c r="J6" s="1" t="str">
        <f>IF(OR(TRIM(I6)="Yes",TRIM(I6)="YES",TRIM(I6)="Y",TRIM(I6)="yes"),"Yes","No")</f>
        <v>No</v>
      </c>
      <c r="L6" s="1" t="str">
        <f>IF(C6="","Yes","No")</f>
        <v>No</v>
      </c>
      <c r="M6" s="1">
        <f>IF(C6="", "", C6 - B6)</f>
        <v>9</v>
      </c>
      <c r="N6" s="3">
        <f>DATE(YEAR(B6),MONTH(B6),1)</f>
        <v>45597</v>
      </c>
      <c r="O6" s="2">
        <f>DATE(YEAR(B6),MONTH(B6),1)</f>
        <v>45597</v>
      </c>
    </row>
    <row r="7" spans="1:15" x14ac:dyDescent="0.2">
      <c r="A7" s="1" t="s">
        <v>103</v>
      </c>
      <c r="B7" s="3">
        <v>45601</v>
      </c>
      <c r="C7" s="3">
        <v>45618</v>
      </c>
      <c r="D7" s="1" t="s">
        <v>35</v>
      </c>
      <c r="E7" s="1" t="str">
        <f>UPPER(TRIM(D7))</f>
        <v>DOCUMENTATION ERROR</v>
      </c>
      <c r="G7" s="1" t="s">
        <v>12</v>
      </c>
      <c r="H7" s="1" t="str">
        <f>IF(OR(TRIM(G7)="Yes",TRIM(G7)="YES",TRIM(G7)="Y",TRIM(G7)="yes"),"Yes","No")</f>
        <v>No</v>
      </c>
      <c r="I7" s="1" t="s">
        <v>16</v>
      </c>
      <c r="J7" s="1" t="str">
        <f>IF(OR(TRIM(I7)="Yes",TRIM(I7)="YES",TRIM(I7)="Y",TRIM(I7)="yes"),"Yes","No")</f>
        <v>No</v>
      </c>
      <c r="K7" s="1" t="s">
        <v>15</v>
      </c>
      <c r="L7" s="1" t="str">
        <f>IF(C7="","Yes","No")</f>
        <v>No</v>
      </c>
      <c r="M7" s="1">
        <f>IF(C7="", "", C7 - B7)</f>
        <v>17</v>
      </c>
      <c r="N7" s="3">
        <f>DATE(YEAR(B7),MONTH(B7),1)</f>
        <v>45597</v>
      </c>
      <c r="O7" s="2">
        <f>DATE(YEAR(B7),MONTH(B7),1)</f>
        <v>45597</v>
      </c>
    </row>
    <row r="8" spans="1:15" x14ac:dyDescent="0.2">
      <c r="A8" s="1" t="s">
        <v>82</v>
      </c>
      <c r="B8" s="3">
        <v>45622</v>
      </c>
      <c r="C8" s="3">
        <v>45627</v>
      </c>
      <c r="D8" s="1" t="s">
        <v>19</v>
      </c>
      <c r="E8" s="1" t="str">
        <f>UPPER(TRIM(D8))</f>
        <v>DOC ERROR</v>
      </c>
      <c r="G8" s="1" t="s">
        <v>9</v>
      </c>
      <c r="H8" s="1" t="str">
        <f>IF(OR(TRIM(G8)="Yes",TRIM(G8)="YES",TRIM(G8)="Y",TRIM(G8)="yes"),"Yes","No")</f>
        <v>No</v>
      </c>
      <c r="J8" s="1" t="str">
        <f>IF(OR(TRIM(I8)="Yes",TRIM(I8)="YES",TRIM(I8)="Y",TRIM(I8)="yes"),"Yes","No")</f>
        <v>No</v>
      </c>
      <c r="L8" s="1" t="str">
        <f>IF(C8="","Yes","No")</f>
        <v>No</v>
      </c>
      <c r="M8" s="1">
        <f>IF(C8="", "", C8 - B8)</f>
        <v>5</v>
      </c>
      <c r="N8" s="3">
        <f>DATE(YEAR(B8),MONTH(B8),1)</f>
        <v>45597</v>
      </c>
      <c r="O8" s="2">
        <f>DATE(YEAR(B8),MONTH(B8),1)</f>
        <v>45597</v>
      </c>
    </row>
    <row r="9" spans="1:15" x14ac:dyDescent="0.2">
      <c r="A9" s="1" t="s">
        <v>64</v>
      </c>
      <c r="B9" s="3">
        <v>45680</v>
      </c>
      <c r="C9" s="3">
        <v>45690</v>
      </c>
      <c r="D9" s="1" t="s">
        <v>44</v>
      </c>
      <c r="E9" s="1" t="str">
        <f>UPPER(TRIM(D9))</f>
        <v>COMMUNICATION DELAY</v>
      </c>
      <c r="G9" s="1" t="s">
        <v>9</v>
      </c>
      <c r="H9" s="1" t="str">
        <f>IF(OR(TRIM(G9)="Yes",TRIM(G9)="YES",TRIM(G9)="Y",TRIM(G9)="yes"),"Yes","No")</f>
        <v>No</v>
      </c>
      <c r="I9" s="1" t="s">
        <v>0</v>
      </c>
      <c r="J9" s="1" t="str">
        <f>IF(OR(TRIM(I9)="Yes",TRIM(I9)="YES",TRIM(I9)="Y",TRIM(I9)="yes"),"Yes","No")</f>
        <v>Yes</v>
      </c>
      <c r="K9" s="1" t="s">
        <v>29</v>
      </c>
      <c r="L9" s="1" t="str">
        <f>IF(C9="","Yes","No")</f>
        <v>No</v>
      </c>
      <c r="M9" s="1">
        <f>IF(C9="", "", C9 - B9)</f>
        <v>10</v>
      </c>
      <c r="N9" s="3">
        <f>DATE(YEAR(B9),MONTH(B9),1)</f>
        <v>45658</v>
      </c>
      <c r="O9" s="2">
        <f>DATE(YEAR(B9),MONTH(B9),1)</f>
        <v>45658</v>
      </c>
    </row>
    <row r="10" spans="1:15" x14ac:dyDescent="0.2">
      <c r="A10" s="1" t="s">
        <v>251</v>
      </c>
      <c r="B10" s="3">
        <v>45738</v>
      </c>
      <c r="C10" s="3">
        <v>45751</v>
      </c>
      <c r="D10" s="1" t="s">
        <v>19</v>
      </c>
      <c r="E10" s="1" t="str">
        <f>UPPER(TRIM(D10))</f>
        <v>DOC ERROR</v>
      </c>
      <c r="F10" s="1" t="s">
        <v>6</v>
      </c>
      <c r="G10" s="1" t="s">
        <v>1</v>
      </c>
      <c r="H10" s="1" t="str">
        <f>IF(OR(TRIM(G10)="Yes",TRIM(G10)="YES",TRIM(G10)="Y",TRIM(G10)="yes"),"Yes","No")</f>
        <v>Yes</v>
      </c>
      <c r="I10" s="1" t="s">
        <v>0</v>
      </c>
      <c r="J10" s="1" t="str">
        <f>IF(OR(TRIM(I10)="Yes",TRIM(I10)="YES",TRIM(I10)="Y",TRIM(I10)="yes"),"Yes","No")</f>
        <v>Yes</v>
      </c>
      <c r="K10" s="1" t="s">
        <v>15</v>
      </c>
      <c r="L10" s="1" t="str">
        <f>IF(C10="","Yes","No")</f>
        <v>No</v>
      </c>
      <c r="M10" s="1">
        <f>IF(C10="", "", C10 - B10)</f>
        <v>13</v>
      </c>
      <c r="N10" s="3">
        <f>DATE(YEAR(B10),MONTH(B10),1)</f>
        <v>45717</v>
      </c>
      <c r="O10" s="2">
        <f>DATE(YEAR(B10),MONTH(B10),1)</f>
        <v>45717</v>
      </c>
    </row>
    <row r="11" spans="1:15" x14ac:dyDescent="0.2">
      <c r="A11" s="1" t="s">
        <v>180</v>
      </c>
      <c r="B11" s="3">
        <v>45578</v>
      </c>
      <c r="C11" s="3">
        <v>45587</v>
      </c>
      <c r="D11" s="1" t="s">
        <v>35</v>
      </c>
      <c r="E11" s="1" t="str">
        <f>UPPER(TRIM(D11))</f>
        <v>DOCUMENTATION ERROR</v>
      </c>
      <c r="F11" s="1" t="s">
        <v>18</v>
      </c>
      <c r="H11" s="1" t="str">
        <f>IF(OR(TRIM(G11)="Yes",TRIM(G11)="YES",TRIM(G11)="Y",TRIM(G11)="yes"),"Yes","No")</f>
        <v>No</v>
      </c>
      <c r="J11" s="1" t="str">
        <f>IF(OR(TRIM(I11)="Yes",TRIM(I11)="YES",TRIM(I11)="Y",TRIM(I11)="yes"),"Yes","No")</f>
        <v>No</v>
      </c>
      <c r="K11" s="1" t="s">
        <v>15</v>
      </c>
      <c r="L11" s="1" t="str">
        <f>IF(C11="","Yes","No")</f>
        <v>No</v>
      </c>
      <c r="M11" s="1">
        <f>IF(C11="", "", C11 - B11)</f>
        <v>9</v>
      </c>
      <c r="N11" s="3">
        <f>DATE(YEAR(B11),MONTH(B11),1)</f>
        <v>45566</v>
      </c>
      <c r="O11" s="2">
        <f>DATE(YEAR(B11),MONTH(B11),1)</f>
        <v>45566</v>
      </c>
    </row>
    <row r="12" spans="1:15" x14ac:dyDescent="0.2">
      <c r="A12" s="1" t="s">
        <v>241</v>
      </c>
      <c r="B12" s="3">
        <v>45568</v>
      </c>
      <c r="D12" s="1" t="s">
        <v>7</v>
      </c>
      <c r="E12" s="1" t="str">
        <f>UPPER(TRIM(D12))</f>
        <v>BILLING ISSUE</v>
      </c>
      <c r="F12" s="1" t="s">
        <v>2</v>
      </c>
      <c r="G12" s="1" t="s">
        <v>9</v>
      </c>
      <c r="H12" s="1" t="str">
        <f>IF(OR(TRIM(G12)="Yes",TRIM(G12)="YES",TRIM(G12)="Y",TRIM(G12)="yes"),"Yes","No")</f>
        <v>No</v>
      </c>
      <c r="I12" s="1" t="s">
        <v>0</v>
      </c>
      <c r="J12" s="1" t="str">
        <f>IF(OR(TRIM(I12)="Yes",TRIM(I12)="YES",TRIM(I12)="Y",TRIM(I12)="yes"),"Yes","No")</f>
        <v>Yes</v>
      </c>
      <c r="K12" s="1" t="s">
        <v>15</v>
      </c>
      <c r="L12" s="1" t="str">
        <f>IF(C12="","Yes","No")</f>
        <v>Yes</v>
      </c>
      <c r="M12" s="1" t="str">
        <f>IF(C12="", "", C12 - B12)</f>
        <v/>
      </c>
      <c r="N12" s="3">
        <f>DATE(YEAR(B12),MONTH(B12),1)</f>
        <v>45566</v>
      </c>
      <c r="O12" s="2">
        <f>DATE(YEAR(B12),MONTH(B12),1)</f>
        <v>45566</v>
      </c>
    </row>
    <row r="13" spans="1:15" x14ac:dyDescent="0.2">
      <c r="A13" s="1" t="s">
        <v>256</v>
      </c>
      <c r="B13" s="3">
        <v>45578</v>
      </c>
      <c r="C13" s="3">
        <v>45579</v>
      </c>
      <c r="D13" s="1" t="s">
        <v>7</v>
      </c>
      <c r="E13" s="1" t="str">
        <f>UPPER(TRIM(D13))</f>
        <v>BILLING ISSUE</v>
      </c>
      <c r="F13" s="1" t="s">
        <v>6</v>
      </c>
      <c r="G13" s="1" t="s">
        <v>1</v>
      </c>
      <c r="H13" s="1" t="str">
        <f>IF(OR(TRIM(G13)="Yes",TRIM(G13)="YES",TRIM(G13)="Y",TRIM(G13)="yes"),"Yes","No")</f>
        <v>Yes</v>
      </c>
      <c r="I13" s="1" t="s">
        <v>9</v>
      </c>
      <c r="J13" s="1" t="str">
        <f>IF(OR(TRIM(I13)="Yes",TRIM(I13)="YES",TRIM(I13)="Y",TRIM(I13)="yes"),"Yes","No")</f>
        <v>No</v>
      </c>
      <c r="L13" s="1" t="str">
        <f>IF(C13="","Yes","No")</f>
        <v>No</v>
      </c>
      <c r="M13" s="1">
        <f>IF(C13="", "", C13 - B13)</f>
        <v>1</v>
      </c>
      <c r="N13" s="3">
        <f>DATE(YEAR(B13),MONTH(B13),1)</f>
        <v>45566</v>
      </c>
      <c r="O13" s="2">
        <f>DATE(YEAR(B13),MONTH(B13),1)</f>
        <v>45566</v>
      </c>
    </row>
    <row r="14" spans="1:15" x14ac:dyDescent="0.2">
      <c r="A14" s="1" t="s">
        <v>41</v>
      </c>
      <c r="B14" s="3">
        <v>45756</v>
      </c>
      <c r="C14" s="3">
        <v>45765</v>
      </c>
      <c r="D14" s="1" t="s">
        <v>44</v>
      </c>
      <c r="E14" s="1" t="str">
        <f>UPPER(TRIM(D14))</f>
        <v>COMMUNICATION DELAY</v>
      </c>
      <c r="F14" s="1" t="s">
        <v>21</v>
      </c>
      <c r="G14" s="1" t="s">
        <v>16</v>
      </c>
      <c r="H14" s="1" t="str">
        <f>IF(OR(TRIM(G14)="Yes",TRIM(G14)="YES",TRIM(G14)="Y",TRIM(G14)="yes"),"Yes","No")</f>
        <v>No</v>
      </c>
      <c r="J14" s="1" t="str">
        <f>IF(OR(TRIM(I14)="Yes",TRIM(I14)="YES",TRIM(I14)="Y",TRIM(I14)="yes"),"Yes","No")</f>
        <v>No</v>
      </c>
      <c r="K14" s="1" t="s">
        <v>5</v>
      </c>
      <c r="L14" s="1" t="str">
        <f>IF(C14="","Yes","No")</f>
        <v>No</v>
      </c>
      <c r="M14" s="1">
        <f>IF(C14="", "", C14 - B14)</f>
        <v>9</v>
      </c>
      <c r="N14" s="3">
        <f>DATE(YEAR(B14),MONTH(B14),1)</f>
        <v>45748</v>
      </c>
      <c r="O14" s="2">
        <f>DATE(YEAR(B14),MONTH(B14),1)</f>
        <v>45748</v>
      </c>
    </row>
    <row r="15" spans="1:15" x14ac:dyDescent="0.2">
      <c r="A15" s="1" t="s">
        <v>266</v>
      </c>
      <c r="B15" s="3">
        <v>45571</v>
      </c>
      <c r="C15" s="3">
        <v>45573</v>
      </c>
      <c r="D15" s="1" t="s">
        <v>27</v>
      </c>
      <c r="E15" s="1" t="str">
        <f>UPPER(TRIM(D15))</f>
        <v>SERVICE DELAY</v>
      </c>
      <c r="G15" s="1" t="s">
        <v>12</v>
      </c>
      <c r="H15" s="1" t="str">
        <f>IF(OR(TRIM(G15)="Yes",TRIM(G15)="YES",TRIM(G15)="Y",TRIM(G15)="yes"),"Yes","No")</f>
        <v>No</v>
      </c>
      <c r="I15" s="1" t="s">
        <v>9</v>
      </c>
      <c r="J15" s="1" t="str">
        <f>IF(OR(TRIM(I15)="Yes",TRIM(I15)="YES",TRIM(I15)="Y",TRIM(I15)="yes"),"Yes","No")</f>
        <v>No</v>
      </c>
      <c r="K15" s="1" t="s">
        <v>15</v>
      </c>
      <c r="L15" s="1" t="str">
        <f>IF(C15="","Yes","No")</f>
        <v>No</v>
      </c>
      <c r="M15" s="1">
        <f>IF(C15="", "", C15 - B15)</f>
        <v>2</v>
      </c>
      <c r="N15" s="3">
        <f>DATE(YEAR(B15),MONTH(B15),1)</f>
        <v>45566</v>
      </c>
      <c r="O15" s="2">
        <f>DATE(YEAR(B15),MONTH(B15),1)</f>
        <v>45566</v>
      </c>
    </row>
    <row r="16" spans="1:15" x14ac:dyDescent="0.2">
      <c r="A16" s="1" t="s">
        <v>216</v>
      </c>
      <c r="B16" s="3">
        <v>45675</v>
      </c>
      <c r="C16" s="3">
        <v>45690</v>
      </c>
      <c r="D16" s="1" t="s">
        <v>33</v>
      </c>
      <c r="E16" s="1" t="str">
        <f>UPPER(TRIM(D16))</f>
        <v>POLICY UPDATE</v>
      </c>
      <c r="F16" s="1" t="s">
        <v>2</v>
      </c>
      <c r="G16" s="1" t="s">
        <v>12</v>
      </c>
      <c r="H16" s="1" t="str">
        <f>IF(OR(TRIM(G16)="Yes",TRIM(G16)="YES",TRIM(G16)="Y",TRIM(G16)="yes"),"Yes","No")</f>
        <v>No</v>
      </c>
      <c r="J16" s="1" t="str">
        <f>IF(OR(TRIM(I16)="Yes",TRIM(I16)="YES",TRIM(I16)="Y",TRIM(I16)="yes"),"Yes","No")</f>
        <v>No</v>
      </c>
      <c r="L16" s="1" t="str">
        <f>IF(C16="","Yes","No")</f>
        <v>No</v>
      </c>
      <c r="M16" s="1">
        <f>IF(C16="", "", C16 - B16)</f>
        <v>15</v>
      </c>
      <c r="N16" s="3">
        <f>DATE(YEAR(B16),MONTH(B16),1)</f>
        <v>45658</v>
      </c>
      <c r="O16" s="2">
        <f>DATE(YEAR(B16),MONTH(B16),1)</f>
        <v>45658</v>
      </c>
    </row>
    <row r="17" spans="1:15" x14ac:dyDescent="0.2">
      <c r="A17" s="1" t="s">
        <v>99</v>
      </c>
      <c r="B17" s="3">
        <v>45617</v>
      </c>
      <c r="D17" s="1" t="s">
        <v>10</v>
      </c>
      <c r="E17" s="1" t="str">
        <f>UPPER(TRIM(D17))</f>
        <v>POLICY UPDATE</v>
      </c>
      <c r="F17" s="1" t="s">
        <v>6</v>
      </c>
      <c r="G17" s="1" t="s">
        <v>12</v>
      </c>
      <c r="H17" s="1" t="str">
        <f>IF(OR(TRIM(G17)="Yes",TRIM(G17)="YES",TRIM(G17)="Y",TRIM(G17)="yes"),"Yes","No")</f>
        <v>No</v>
      </c>
      <c r="I17" s="1" t="s">
        <v>0</v>
      </c>
      <c r="J17" s="1" t="str">
        <f>IF(OR(TRIM(I17)="Yes",TRIM(I17)="YES",TRIM(I17)="Y",TRIM(I17)="yes"),"Yes","No")</f>
        <v>Yes</v>
      </c>
      <c r="L17" s="1" t="str">
        <f>IF(C17="","Yes","No")</f>
        <v>Yes</v>
      </c>
      <c r="M17" s="1" t="str">
        <f>IF(C17="", "", C17 - B17)</f>
        <v/>
      </c>
      <c r="N17" s="3">
        <f>DATE(YEAR(B17),MONTH(B17),1)</f>
        <v>45597</v>
      </c>
      <c r="O17" s="2">
        <f>DATE(YEAR(B17),MONTH(B17),1)</f>
        <v>45597</v>
      </c>
    </row>
    <row r="18" spans="1:15" x14ac:dyDescent="0.2">
      <c r="A18" s="1" t="s">
        <v>195</v>
      </c>
      <c r="B18" s="3">
        <v>45658</v>
      </c>
      <c r="C18" s="3">
        <v>45671</v>
      </c>
      <c r="D18" s="1" t="s">
        <v>7</v>
      </c>
      <c r="E18" s="1" t="str">
        <f>UPPER(TRIM(D18))</f>
        <v>BILLING ISSUE</v>
      </c>
      <c r="G18" s="1" t="s">
        <v>9</v>
      </c>
      <c r="H18" s="1" t="str">
        <f>IF(OR(TRIM(G18)="Yes",TRIM(G18)="YES",TRIM(G18)="Y",TRIM(G18)="yes"),"Yes","No")</f>
        <v>No</v>
      </c>
      <c r="I18" s="1" t="s">
        <v>9</v>
      </c>
      <c r="J18" s="1" t="str">
        <f>IF(OR(TRIM(I18)="Yes",TRIM(I18)="YES",TRIM(I18)="Y",TRIM(I18)="yes"),"Yes","No")</f>
        <v>No</v>
      </c>
      <c r="K18" s="1" t="s">
        <v>29</v>
      </c>
      <c r="L18" s="1" t="str">
        <f>IF(C18="","Yes","No")</f>
        <v>No</v>
      </c>
      <c r="M18" s="1">
        <f>IF(C18="", "", C18 - B18)</f>
        <v>13</v>
      </c>
      <c r="N18" s="3">
        <f>DATE(YEAR(B18),MONTH(B18),1)</f>
        <v>45658</v>
      </c>
      <c r="O18" s="2">
        <f>DATE(YEAR(B18),MONTH(B18),1)</f>
        <v>45658</v>
      </c>
    </row>
    <row r="19" spans="1:15" x14ac:dyDescent="0.2">
      <c r="A19" s="1" t="s">
        <v>186</v>
      </c>
      <c r="B19" s="3">
        <v>45576</v>
      </c>
      <c r="C19" s="3">
        <v>45596</v>
      </c>
      <c r="D19" s="1" t="s">
        <v>44</v>
      </c>
      <c r="E19" s="1" t="str">
        <f>UPPER(TRIM(D19))</f>
        <v>COMMUNICATION DELAY</v>
      </c>
      <c r="F19" s="1" t="s">
        <v>18</v>
      </c>
      <c r="G19" s="1" t="s">
        <v>9</v>
      </c>
      <c r="H19" s="1" t="str">
        <f>IF(OR(TRIM(G19)="Yes",TRIM(G19)="YES",TRIM(G19)="Y",TRIM(G19)="yes"),"Yes","No")</f>
        <v>No</v>
      </c>
      <c r="J19" s="1" t="str">
        <f>IF(OR(TRIM(I19)="Yes",TRIM(I19)="YES",TRIM(I19)="Y",TRIM(I19)="yes"),"Yes","No")</f>
        <v>No</v>
      </c>
      <c r="K19" s="1" t="s">
        <v>15</v>
      </c>
      <c r="L19" s="1" t="str">
        <f>IF(C19="","Yes","No")</f>
        <v>No</v>
      </c>
      <c r="M19" s="1">
        <f>IF(C19="", "", C19 - B19)</f>
        <v>20</v>
      </c>
      <c r="N19" s="3">
        <f>DATE(YEAR(B19),MONTH(B19),1)</f>
        <v>45566</v>
      </c>
      <c r="O19" s="2">
        <f>DATE(YEAR(B19),MONTH(B19),1)</f>
        <v>45566</v>
      </c>
    </row>
    <row r="20" spans="1:15" x14ac:dyDescent="0.2">
      <c r="A20" s="1" t="s">
        <v>269</v>
      </c>
      <c r="B20" s="3">
        <v>45631</v>
      </c>
      <c r="C20" s="3">
        <v>45636</v>
      </c>
      <c r="D20" s="1" t="s">
        <v>3</v>
      </c>
      <c r="E20" s="1" t="str">
        <f>UPPER(TRIM(D20))</f>
        <v>COMMUNICATION DELAY</v>
      </c>
      <c r="G20" s="1" t="s">
        <v>47</v>
      </c>
      <c r="H20" s="1" t="str">
        <f>IF(OR(TRIM(G20)="Yes",TRIM(G20)="YES",TRIM(G20)="Y",TRIM(G20)="yes"),"Yes","No")</f>
        <v>Yes</v>
      </c>
      <c r="I20" s="1" t="s">
        <v>1</v>
      </c>
      <c r="J20" s="1" t="str">
        <f>IF(OR(TRIM(I20)="Yes",TRIM(I20)="YES",TRIM(I20)="Y",TRIM(I20)="yes"),"Yes","No")</f>
        <v>Yes</v>
      </c>
      <c r="L20" s="1" t="str">
        <f>IF(C20="","Yes","No")</f>
        <v>No</v>
      </c>
      <c r="M20" s="1">
        <f>IF(C20="", "", C20 - B20)</f>
        <v>5</v>
      </c>
      <c r="N20" s="3">
        <f>DATE(YEAR(B20),MONTH(B20),1)</f>
        <v>45627</v>
      </c>
      <c r="O20" s="2">
        <f>DATE(YEAR(B20),MONTH(B20),1)</f>
        <v>45627</v>
      </c>
    </row>
    <row r="21" spans="1:15" x14ac:dyDescent="0.2">
      <c r="A21" s="1" t="s">
        <v>225</v>
      </c>
      <c r="B21" s="3">
        <v>45720</v>
      </c>
      <c r="C21" s="3">
        <v>45733</v>
      </c>
      <c r="D21" s="1" t="s">
        <v>44</v>
      </c>
      <c r="E21" s="1" t="str">
        <f>UPPER(TRIM(D21))</f>
        <v>COMMUNICATION DELAY</v>
      </c>
      <c r="F21" s="1" t="s">
        <v>21</v>
      </c>
      <c r="G21" s="1" t="s">
        <v>12</v>
      </c>
      <c r="H21" s="1" t="str">
        <f>IF(OR(TRIM(G21)="Yes",TRIM(G21)="YES",TRIM(G21)="Y",TRIM(G21)="yes"),"Yes","No")</f>
        <v>No</v>
      </c>
      <c r="I21" s="1" t="s">
        <v>0</v>
      </c>
      <c r="J21" s="1" t="str">
        <f>IF(OR(TRIM(I21)="Yes",TRIM(I21)="YES",TRIM(I21)="Y",TRIM(I21)="yes"),"Yes","No")</f>
        <v>Yes</v>
      </c>
      <c r="K21" s="1" t="s">
        <v>15</v>
      </c>
      <c r="L21" s="1" t="str">
        <f>IF(C21="","Yes","No")</f>
        <v>No</v>
      </c>
      <c r="M21" s="1">
        <f>IF(C21="", "", C21 - B21)</f>
        <v>13</v>
      </c>
      <c r="N21" s="3">
        <f>DATE(YEAR(B21),MONTH(B21),1)</f>
        <v>45717</v>
      </c>
      <c r="O21" s="2">
        <f>DATE(YEAR(B21),MONTH(B21),1)</f>
        <v>45717</v>
      </c>
    </row>
    <row r="22" spans="1:15" x14ac:dyDescent="0.2">
      <c r="A22" s="1" t="s">
        <v>268</v>
      </c>
      <c r="B22" s="3">
        <v>45664</v>
      </c>
      <c r="C22" s="3">
        <v>45683</v>
      </c>
      <c r="D22" s="1" t="s">
        <v>27</v>
      </c>
      <c r="E22" s="1" t="str">
        <f>UPPER(TRIM(D22))</f>
        <v>SERVICE DELAY</v>
      </c>
      <c r="F22" s="1" t="s">
        <v>6</v>
      </c>
      <c r="G22" s="1" t="s">
        <v>1</v>
      </c>
      <c r="H22" s="1" t="str">
        <f>IF(OR(TRIM(G22)="Yes",TRIM(G22)="YES",TRIM(G22)="Y",TRIM(G22)="yes"),"Yes","No")</f>
        <v>Yes</v>
      </c>
      <c r="I22" s="1" t="s">
        <v>1</v>
      </c>
      <c r="J22" s="1" t="str">
        <f>IF(OR(TRIM(I22)="Yes",TRIM(I22)="YES",TRIM(I22)="Y",TRIM(I22)="yes"),"Yes","No")</f>
        <v>Yes</v>
      </c>
      <c r="K22" s="1" t="s">
        <v>29</v>
      </c>
      <c r="L22" s="1" t="str">
        <f>IF(C22="","Yes","No")</f>
        <v>No</v>
      </c>
      <c r="M22" s="1">
        <f>IF(C22="", "", C22 - B22)</f>
        <v>19</v>
      </c>
      <c r="N22" s="3">
        <f>DATE(YEAR(B22),MONTH(B22),1)</f>
        <v>45658</v>
      </c>
      <c r="O22" s="2">
        <f>DATE(YEAR(B22),MONTH(B22),1)</f>
        <v>45658</v>
      </c>
    </row>
    <row r="23" spans="1:15" x14ac:dyDescent="0.2">
      <c r="A23" s="1" t="s">
        <v>220</v>
      </c>
      <c r="B23" s="3">
        <v>45756</v>
      </c>
      <c r="C23" s="3">
        <v>45767</v>
      </c>
      <c r="D23" s="1" t="s">
        <v>3</v>
      </c>
      <c r="E23" s="1" t="str">
        <f>UPPER(TRIM(D23))</f>
        <v>COMMUNICATION DELAY</v>
      </c>
      <c r="F23" s="1" t="s">
        <v>21</v>
      </c>
      <c r="G23" s="1" t="s">
        <v>0</v>
      </c>
      <c r="H23" s="1" t="str">
        <f>IF(OR(TRIM(G23)="Yes",TRIM(G23)="YES",TRIM(G23)="Y",TRIM(G23)="yes"),"Yes","No")</f>
        <v>Yes</v>
      </c>
      <c r="I23" s="1" t="s">
        <v>0</v>
      </c>
      <c r="J23" s="1" t="str">
        <f>IF(OR(TRIM(I23)="Yes",TRIM(I23)="YES",TRIM(I23)="Y",TRIM(I23)="yes"),"Yes","No")</f>
        <v>Yes</v>
      </c>
      <c r="L23" s="1" t="str">
        <f>IF(C23="","Yes","No")</f>
        <v>No</v>
      </c>
      <c r="M23" s="1">
        <f>IF(C23="", "", C23 - B23)</f>
        <v>11</v>
      </c>
      <c r="N23" s="3">
        <f>DATE(YEAR(B23),MONTH(B23),1)</f>
        <v>45748</v>
      </c>
      <c r="O23" s="2">
        <f>DATE(YEAR(B23),MONTH(B23),1)</f>
        <v>45748</v>
      </c>
    </row>
    <row r="24" spans="1:15" x14ac:dyDescent="0.2">
      <c r="A24" s="1" t="s">
        <v>13</v>
      </c>
      <c r="B24" s="3">
        <v>45577</v>
      </c>
      <c r="C24" s="3">
        <v>45590</v>
      </c>
      <c r="D24" s="1" t="s">
        <v>22</v>
      </c>
      <c r="E24" s="1" t="str">
        <f>UPPER(TRIM(D24))</f>
        <v>BILLING ISSUE</v>
      </c>
      <c r="F24" s="1" t="s">
        <v>6</v>
      </c>
      <c r="G24" s="1" t="s">
        <v>0</v>
      </c>
      <c r="H24" s="1" t="str">
        <f>IF(OR(TRIM(G24)="Yes",TRIM(G24)="YES",TRIM(G24)="Y",TRIM(G24)="yes"),"Yes","No")</f>
        <v>Yes</v>
      </c>
      <c r="J24" s="1" t="str">
        <f>IF(OR(TRIM(I24)="Yes",TRIM(I24)="YES",TRIM(I24)="Y",TRIM(I24)="yes"),"Yes","No")</f>
        <v>No</v>
      </c>
      <c r="K24" s="1" t="s">
        <v>29</v>
      </c>
      <c r="L24" s="1" t="str">
        <f>IF(C24="","Yes","No")</f>
        <v>No</v>
      </c>
      <c r="M24" s="1">
        <f>IF(C24="", "", C24 - B24)</f>
        <v>13</v>
      </c>
      <c r="N24" s="3">
        <f>DATE(YEAR(B24),MONTH(B24),1)</f>
        <v>45566</v>
      </c>
      <c r="O24" s="2">
        <f>DATE(YEAR(B24),MONTH(B24),1)</f>
        <v>45566</v>
      </c>
    </row>
    <row r="25" spans="1:15" x14ac:dyDescent="0.2">
      <c r="A25" s="1" t="s">
        <v>267</v>
      </c>
      <c r="B25" s="3">
        <v>45658</v>
      </c>
      <c r="C25" s="3">
        <v>45666</v>
      </c>
      <c r="D25" s="1" t="s">
        <v>19</v>
      </c>
      <c r="E25" s="1" t="str">
        <f>UPPER(TRIM(D25))</f>
        <v>DOC ERROR</v>
      </c>
      <c r="F25" s="1" t="s">
        <v>2</v>
      </c>
      <c r="G25" s="1" t="s">
        <v>0</v>
      </c>
      <c r="H25" s="1" t="str">
        <f>IF(OR(TRIM(G25)="Yes",TRIM(G25)="YES",TRIM(G25)="Y",TRIM(G25)="yes"),"Yes","No")</f>
        <v>Yes</v>
      </c>
      <c r="I25" s="1" t="s">
        <v>1</v>
      </c>
      <c r="J25" s="1" t="str">
        <f>IF(OR(TRIM(I25)="Yes",TRIM(I25)="YES",TRIM(I25)="Y",TRIM(I25)="yes"),"Yes","No")</f>
        <v>Yes</v>
      </c>
      <c r="K25" s="1" t="s">
        <v>15</v>
      </c>
      <c r="L25" s="1" t="str">
        <f>IF(C25="","Yes","No")</f>
        <v>No</v>
      </c>
      <c r="M25" s="1">
        <f>IF(C25="", "", C25 - B25)</f>
        <v>8</v>
      </c>
      <c r="N25" s="3">
        <f>DATE(YEAR(B25),MONTH(B25),1)</f>
        <v>45658</v>
      </c>
      <c r="O25" s="2">
        <f>DATE(YEAR(B25),MONTH(B25),1)</f>
        <v>45658</v>
      </c>
    </row>
    <row r="26" spans="1:15" x14ac:dyDescent="0.2">
      <c r="A26" s="1" t="s">
        <v>266</v>
      </c>
      <c r="B26" s="3">
        <v>45745</v>
      </c>
      <c r="C26" s="3">
        <v>45764</v>
      </c>
      <c r="D26" s="1" t="s">
        <v>10</v>
      </c>
      <c r="E26" s="1" t="str">
        <f>UPPER(TRIM(D26))</f>
        <v>POLICY UPDATE</v>
      </c>
      <c r="F26" s="1" t="s">
        <v>21</v>
      </c>
      <c r="G26" s="1" t="s">
        <v>16</v>
      </c>
      <c r="H26" s="1" t="str">
        <f>IF(OR(TRIM(G26)="Yes",TRIM(G26)="YES",TRIM(G26)="Y",TRIM(G26)="yes"),"Yes","No")</f>
        <v>No</v>
      </c>
      <c r="I26" s="1" t="s">
        <v>0</v>
      </c>
      <c r="J26" s="1" t="str">
        <f>IF(OR(TRIM(I26)="Yes",TRIM(I26)="YES",TRIM(I26)="Y",TRIM(I26)="yes"),"Yes","No")</f>
        <v>Yes</v>
      </c>
      <c r="L26" s="1" t="str">
        <f>IF(C26="","Yes","No")</f>
        <v>No</v>
      </c>
      <c r="M26" s="1">
        <f>IF(C26="", "", C26 - B26)</f>
        <v>19</v>
      </c>
      <c r="N26" s="3">
        <f>DATE(YEAR(B26),MONTH(B26),1)</f>
        <v>45717</v>
      </c>
      <c r="O26" s="2">
        <f>DATE(YEAR(B26),MONTH(B26),1)</f>
        <v>45717</v>
      </c>
    </row>
    <row r="27" spans="1:15" x14ac:dyDescent="0.2">
      <c r="A27" s="1" t="s">
        <v>240</v>
      </c>
      <c r="B27" s="3">
        <v>45647</v>
      </c>
      <c r="C27" s="3">
        <v>45666</v>
      </c>
      <c r="D27" s="1" t="s">
        <v>19</v>
      </c>
      <c r="E27" s="1" t="str">
        <f>UPPER(TRIM(D27))</f>
        <v>DOC ERROR</v>
      </c>
      <c r="F27" s="1" t="s">
        <v>6</v>
      </c>
      <c r="H27" s="1" t="str">
        <f>IF(OR(TRIM(G27)="Yes",TRIM(G27)="YES",TRIM(G27)="Y",TRIM(G27)="yes"),"Yes","No")</f>
        <v>No</v>
      </c>
      <c r="I27" s="1" t="s">
        <v>0</v>
      </c>
      <c r="J27" s="1" t="str">
        <f>IF(OR(TRIM(I27)="Yes",TRIM(I27)="YES",TRIM(I27)="Y",TRIM(I27)="yes"),"Yes","No")</f>
        <v>Yes</v>
      </c>
      <c r="K27" s="1" t="s">
        <v>15</v>
      </c>
      <c r="L27" s="1" t="str">
        <f>IF(C27="","Yes","No")</f>
        <v>No</v>
      </c>
      <c r="M27" s="1">
        <f>IF(C27="", "", C27 - B27)</f>
        <v>19</v>
      </c>
      <c r="N27" s="3">
        <f>DATE(YEAR(B27),MONTH(B27),1)</f>
        <v>45627</v>
      </c>
      <c r="O27" s="2">
        <f>DATE(YEAR(B27),MONTH(B27),1)</f>
        <v>45627</v>
      </c>
    </row>
    <row r="28" spans="1:15" x14ac:dyDescent="0.2">
      <c r="A28" s="1" t="s">
        <v>174</v>
      </c>
      <c r="B28" s="3">
        <v>45603</v>
      </c>
      <c r="C28" s="3">
        <v>45621</v>
      </c>
      <c r="D28" s="1" t="s">
        <v>10</v>
      </c>
      <c r="E28" s="1" t="str">
        <f>UPPER(TRIM(D28))</f>
        <v>POLICY UPDATE</v>
      </c>
      <c r="G28" s="1" t="s">
        <v>9</v>
      </c>
      <c r="H28" s="1" t="str">
        <f>IF(OR(TRIM(G28)="Yes",TRIM(G28)="YES",TRIM(G28)="Y",TRIM(G28)="yes"),"Yes","No")</f>
        <v>No</v>
      </c>
      <c r="J28" s="1" t="str">
        <f>IF(OR(TRIM(I28)="Yes",TRIM(I28)="YES",TRIM(I28)="Y",TRIM(I28)="yes"),"Yes","No")</f>
        <v>No</v>
      </c>
      <c r="L28" s="1" t="str">
        <f>IF(C28="","Yes","No")</f>
        <v>No</v>
      </c>
      <c r="M28" s="1">
        <f>IF(C28="", "", C28 - B28)</f>
        <v>18</v>
      </c>
      <c r="N28" s="3">
        <f>DATE(YEAR(B28),MONTH(B28),1)</f>
        <v>45597</v>
      </c>
      <c r="O28" s="2">
        <f>DATE(YEAR(B28),MONTH(B28),1)</f>
        <v>45597</v>
      </c>
    </row>
    <row r="29" spans="1:15" x14ac:dyDescent="0.2">
      <c r="A29" s="1" t="s">
        <v>265</v>
      </c>
      <c r="B29" s="3">
        <v>45583</v>
      </c>
      <c r="C29" s="3">
        <v>45603</v>
      </c>
      <c r="D29" s="1" t="s">
        <v>33</v>
      </c>
      <c r="E29" s="1" t="str">
        <f>UPPER(TRIM(D29))</f>
        <v>POLICY UPDATE</v>
      </c>
      <c r="F29" s="1" t="s">
        <v>21</v>
      </c>
      <c r="G29" s="1" t="s">
        <v>9</v>
      </c>
      <c r="H29" s="1" t="str">
        <f>IF(OR(TRIM(G29)="Yes",TRIM(G29)="YES",TRIM(G29)="Y",TRIM(G29)="yes"),"Yes","No")</f>
        <v>No</v>
      </c>
      <c r="I29" s="1" t="s">
        <v>9</v>
      </c>
      <c r="J29" s="1" t="str">
        <f>IF(OR(TRIM(I29)="Yes",TRIM(I29)="YES",TRIM(I29)="Y",TRIM(I29)="yes"),"Yes","No")</f>
        <v>No</v>
      </c>
      <c r="K29" s="1" t="s">
        <v>5</v>
      </c>
      <c r="L29" s="1" t="str">
        <f>IF(C29="","Yes","No")</f>
        <v>No</v>
      </c>
      <c r="M29" s="1">
        <f>IF(C29="", "", C29 - B29)</f>
        <v>20</v>
      </c>
      <c r="N29" s="3">
        <f>DATE(YEAR(B29),MONTH(B29),1)</f>
        <v>45566</v>
      </c>
      <c r="O29" s="2">
        <f>DATE(YEAR(B29),MONTH(B29),1)</f>
        <v>45566</v>
      </c>
    </row>
    <row r="30" spans="1:15" x14ac:dyDescent="0.2">
      <c r="A30" s="1" t="s">
        <v>103</v>
      </c>
      <c r="B30" s="3">
        <v>45604</v>
      </c>
      <c r="C30" s="3">
        <v>45617</v>
      </c>
      <c r="D30" s="1" t="s">
        <v>10</v>
      </c>
      <c r="E30" s="1" t="str">
        <f>UPPER(TRIM(D30))</f>
        <v>POLICY UPDATE</v>
      </c>
      <c r="F30" s="1" t="s">
        <v>2</v>
      </c>
      <c r="G30" s="1" t="s">
        <v>16</v>
      </c>
      <c r="H30" s="1" t="str">
        <f>IF(OR(TRIM(G30)="Yes",TRIM(G30)="YES",TRIM(G30)="Y",TRIM(G30)="yes"),"Yes","No")</f>
        <v>No</v>
      </c>
      <c r="I30" s="1" t="s">
        <v>9</v>
      </c>
      <c r="J30" s="1" t="str">
        <f>IF(OR(TRIM(I30)="Yes",TRIM(I30)="YES",TRIM(I30)="Y",TRIM(I30)="yes"),"Yes","No")</f>
        <v>No</v>
      </c>
      <c r="K30" s="1" t="s">
        <v>29</v>
      </c>
      <c r="L30" s="1" t="str">
        <f>IF(C30="","Yes","No")</f>
        <v>No</v>
      </c>
      <c r="M30" s="1">
        <f>IF(C30="", "", C30 - B30)</f>
        <v>13</v>
      </c>
      <c r="N30" s="3">
        <f>DATE(YEAR(B30),MONTH(B30),1)</f>
        <v>45597</v>
      </c>
      <c r="O30" s="2">
        <f>DATE(YEAR(B30),MONTH(B30),1)</f>
        <v>45597</v>
      </c>
    </row>
    <row r="31" spans="1:15" x14ac:dyDescent="0.2">
      <c r="A31" s="1" t="s">
        <v>60</v>
      </c>
      <c r="B31" s="3">
        <v>45681</v>
      </c>
      <c r="C31" s="3">
        <v>45701</v>
      </c>
      <c r="D31" s="1" t="s">
        <v>44</v>
      </c>
      <c r="E31" s="1" t="str">
        <f>UPPER(TRIM(D31))</f>
        <v>COMMUNICATION DELAY</v>
      </c>
      <c r="F31" s="1" t="s">
        <v>2</v>
      </c>
      <c r="G31" s="1" t="s">
        <v>12</v>
      </c>
      <c r="H31" s="1" t="str">
        <f>IF(OR(TRIM(G31)="Yes",TRIM(G31)="YES",TRIM(G31)="Y",TRIM(G31)="yes"),"Yes","No")</f>
        <v>No</v>
      </c>
      <c r="J31" s="1" t="str">
        <f>IF(OR(TRIM(I31)="Yes",TRIM(I31)="YES",TRIM(I31)="Y",TRIM(I31)="yes"),"Yes","No")</f>
        <v>No</v>
      </c>
      <c r="L31" s="1" t="str">
        <f>IF(C31="","Yes","No")</f>
        <v>No</v>
      </c>
      <c r="M31" s="1">
        <f>IF(C31="", "", C31 - B31)</f>
        <v>20</v>
      </c>
      <c r="N31" s="3">
        <f>DATE(YEAR(B31),MONTH(B31),1)</f>
        <v>45658</v>
      </c>
      <c r="O31" s="2">
        <f>DATE(YEAR(B31),MONTH(B31),1)</f>
        <v>45658</v>
      </c>
    </row>
    <row r="32" spans="1:15" x14ac:dyDescent="0.2">
      <c r="A32" s="1" t="s">
        <v>180</v>
      </c>
      <c r="B32" s="3">
        <v>45745</v>
      </c>
      <c r="C32" s="3">
        <v>45746</v>
      </c>
      <c r="D32" s="1" t="s">
        <v>22</v>
      </c>
      <c r="E32" s="1" t="str">
        <f>UPPER(TRIM(D32))</f>
        <v>BILLING ISSUE</v>
      </c>
      <c r="F32" s="1" t="s">
        <v>6</v>
      </c>
      <c r="G32" s="1" t="s">
        <v>16</v>
      </c>
      <c r="H32" s="1" t="str">
        <f>IF(OR(TRIM(G32)="Yes",TRIM(G32)="YES",TRIM(G32)="Y",TRIM(G32)="yes"),"Yes","No")</f>
        <v>No</v>
      </c>
      <c r="I32" s="1" t="s">
        <v>9</v>
      </c>
      <c r="J32" s="1" t="str">
        <f>IF(OR(TRIM(I32)="Yes",TRIM(I32)="YES",TRIM(I32)="Y",TRIM(I32)="yes"),"Yes","No")</f>
        <v>No</v>
      </c>
      <c r="L32" s="1" t="str">
        <f>IF(C32="","Yes","No")</f>
        <v>No</v>
      </c>
      <c r="M32" s="1">
        <f>IF(C32="", "", C32 - B32)</f>
        <v>1</v>
      </c>
      <c r="N32" s="3">
        <f>DATE(YEAR(B32),MONTH(B32),1)</f>
        <v>45717</v>
      </c>
      <c r="O32" s="2">
        <f>DATE(YEAR(B32),MONTH(B32),1)</f>
        <v>45717</v>
      </c>
    </row>
    <row r="33" spans="1:15" x14ac:dyDescent="0.2">
      <c r="A33" s="1" t="s">
        <v>264</v>
      </c>
      <c r="B33" s="3">
        <v>45608</v>
      </c>
      <c r="D33" s="1" t="s">
        <v>19</v>
      </c>
      <c r="E33" s="1" t="str">
        <f>UPPER(TRIM(D33))</f>
        <v>DOC ERROR</v>
      </c>
      <c r="G33" s="1" t="s">
        <v>47</v>
      </c>
      <c r="H33" s="1" t="str">
        <f>IF(OR(TRIM(G33)="Yes",TRIM(G33)="YES",TRIM(G33)="Y",TRIM(G33)="yes"),"Yes","No")</f>
        <v>Yes</v>
      </c>
      <c r="I33" s="1" t="s">
        <v>0</v>
      </c>
      <c r="J33" s="1" t="str">
        <f>IF(OR(TRIM(I33)="Yes",TRIM(I33)="YES",TRIM(I33)="Y",TRIM(I33)="yes"),"Yes","No")</f>
        <v>Yes</v>
      </c>
      <c r="L33" s="1" t="str">
        <f>IF(C33="","Yes","No")</f>
        <v>Yes</v>
      </c>
      <c r="M33" s="1" t="str">
        <f>IF(C33="", "", C33 - B33)</f>
        <v/>
      </c>
      <c r="N33" s="3">
        <f>DATE(YEAR(B33),MONTH(B33),1)</f>
        <v>45597</v>
      </c>
      <c r="O33" s="2">
        <f>DATE(YEAR(B33),MONTH(B33),1)</f>
        <v>45597</v>
      </c>
    </row>
    <row r="34" spans="1:15" x14ac:dyDescent="0.2">
      <c r="A34" s="1" t="s">
        <v>195</v>
      </c>
      <c r="B34" s="3">
        <v>45763</v>
      </c>
      <c r="C34" s="3">
        <v>45780</v>
      </c>
      <c r="D34" s="1" t="s">
        <v>19</v>
      </c>
      <c r="E34" s="1" t="str">
        <f>UPPER(TRIM(D34))</f>
        <v>DOC ERROR</v>
      </c>
      <c r="F34" s="1" t="s">
        <v>2</v>
      </c>
      <c r="G34" s="1" t="s">
        <v>16</v>
      </c>
      <c r="H34" s="1" t="str">
        <f>IF(OR(TRIM(G34)="Yes",TRIM(G34)="YES",TRIM(G34)="Y",TRIM(G34)="yes"),"Yes","No")</f>
        <v>No</v>
      </c>
      <c r="I34" s="1" t="s">
        <v>16</v>
      </c>
      <c r="J34" s="1" t="str">
        <f>IF(OR(TRIM(I34)="Yes",TRIM(I34)="YES",TRIM(I34)="Y",TRIM(I34)="yes"),"Yes","No")</f>
        <v>No</v>
      </c>
      <c r="L34" s="1" t="str">
        <f>IF(C34="","Yes","No")</f>
        <v>No</v>
      </c>
      <c r="M34" s="1">
        <f>IF(C34="", "", C34 - B34)</f>
        <v>17</v>
      </c>
      <c r="N34" s="3">
        <f>DATE(YEAR(B34),MONTH(B34),1)</f>
        <v>45748</v>
      </c>
      <c r="O34" s="2">
        <f>DATE(YEAR(B34),MONTH(B34),1)</f>
        <v>45748</v>
      </c>
    </row>
    <row r="35" spans="1:15" x14ac:dyDescent="0.2">
      <c r="A35" s="1" t="s">
        <v>259</v>
      </c>
      <c r="B35" s="3">
        <v>45760</v>
      </c>
      <c r="D35" s="1" t="s">
        <v>7</v>
      </c>
      <c r="E35" s="1" t="str">
        <f>UPPER(TRIM(D35))</f>
        <v>BILLING ISSUE</v>
      </c>
      <c r="F35" s="1" t="s">
        <v>18</v>
      </c>
      <c r="G35" s="1" t="s">
        <v>47</v>
      </c>
      <c r="H35" s="1" t="str">
        <f>IF(OR(TRIM(G35)="Yes",TRIM(G35)="YES",TRIM(G35)="Y",TRIM(G35)="yes"),"Yes","No")</f>
        <v>Yes</v>
      </c>
      <c r="I35" s="1" t="s">
        <v>16</v>
      </c>
      <c r="J35" s="1" t="str">
        <f>IF(OR(TRIM(I35)="Yes",TRIM(I35)="YES",TRIM(I35)="Y",TRIM(I35)="yes"),"Yes","No")</f>
        <v>No</v>
      </c>
      <c r="L35" s="1" t="str">
        <f>IF(C35="","Yes","No")</f>
        <v>Yes</v>
      </c>
      <c r="M35" s="1" t="str">
        <f>IF(C35="", "", C35 - B35)</f>
        <v/>
      </c>
      <c r="N35" s="3">
        <f>DATE(YEAR(B35),MONTH(B35),1)</f>
        <v>45748</v>
      </c>
      <c r="O35" s="2">
        <f>DATE(YEAR(B35),MONTH(B35),1)</f>
        <v>45748</v>
      </c>
    </row>
    <row r="36" spans="1:15" x14ac:dyDescent="0.2">
      <c r="A36" s="1" t="s">
        <v>263</v>
      </c>
      <c r="B36" s="3">
        <v>45761</v>
      </c>
      <c r="C36" s="3">
        <v>45764</v>
      </c>
      <c r="D36" s="1" t="s">
        <v>33</v>
      </c>
      <c r="E36" s="1" t="str">
        <f>UPPER(TRIM(D36))</f>
        <v>POLICY UPDATE</v>
      </c>
      <c r="F36" s="1" t="s">
        <v>6</v>
      </c>
      <c r="G36" s="1" t="s">
        <v>16</v>
      </c>
      <c r="H36" s="1" t="str">
        <f>IF(OR(TRIM(G36)="Yes",TRIM(G36)="YES",TRIM(G36)="Y",TRIM(G36)="yes"),"Yes","No")</f>
        <v>No</v>
      </c>
      <c r="I36" s="1" t="s">
        <v>1</v>
      </c>
      <c r="J36" s="1" t="str">
        <f>IF(OR(TRIM(I36)="Yes",TRIM(I36)="YES",TRIM(I36)="Y",TRIM(I36)="yes"),"Yes","No")</f>
        <v>Yes</v>
      </c>
      <c r="K36" s="1" t="s">
        <v>29</v>
      </c>
      <c r="L36" s="1" t="str">
        <f>IF(C36="","Yes","No")</f>
        <v>No</v>
      </c>
      <c r="M36" s="1">
        <f>IF(C36="", "", C36 - B36)</f>
        <v>3</v>
      </c>
      <c r="N36" s="3">
        <f>DATE(YEAR(B36),MONTH(B36),1)</f>
        <v>45748</v>
      </c>
      <c r="O36" s="2">
        <f>DATE(YEAR(B36),MONTH(B36),1)</f>
        <v>45748</v>
      </c>
    </row>
    <row r="37" spans="1:15" x14ac:dyDescent="0.2">
      <c r="A37" s="1" t="s">
        <v>212</v>
      </c>
      <c r="B37" s="3">
        <v>45703</v>
      </c>
      <c r="D37" s="1" t="s">
        <v>10</v>
      </c>
      <c r="E37" s="1" t="str">
        <f>UPPER(TRIM(D37))</f>
        <v>POLICY UPDATE</v>
      </c>
      <c r="F37" s="1" t="s">
        <v>2</v>
      </c>
      <c r="G37" s="1" t="s">
        <v>0</v>
      </c>
      <c r="H37" s="1" t="str">
        <f>IF(OR(TRIM(G37)="Yes",TRIM(G37)="YES",TRIM(G37)="Y",TRIM(G37)="yes"),"Yes","No")</f>
        <v>Yes</v>
      </c>
      <c r="I37" s="1" t="s">
        <v>16</v>
      </c>
      <c r="J37" s="1" t="str">
        <f>IF(OR(TRIM(I37)="Yes",TRIM(I37)="YES",TRIM(I37)="Y",TRIM(I37)="yes"),"Yes","No")</f>
        <v>No</v>
      </c>
      <c r="L37" s="1" t="str">
        <f>IF(C37="","Yes","No")</f>
        <v>Yes</v>
      </c>
      <c r="M37" s="1" t="str">
        <f>IF(C37="", "", C37 - B37)</f>
        <v/>
      </c>
      <c r="N37" s="3">
        <f>DATE(YEAR(B37),MONTH(B37),1)</f>
        <v>45689</v>
      </c>
      <c r="O37" s="2">
        <f>DATE(YEAR(B37),MONTH(B37),1)</f>
        <v>45689</v>
      </c>
    </row>
    <row r="38" spans="1:15" x14ac:dyDescent="0.2">
      <c r="A38" s="1" t="s">
        <v>262</v>
      </c>
      <c r="B38" s="3">
        <v>45693</v>
      </c>
      <c r="C38" s="3">
        <v>45696</v>
      </c>
      <c r="D38" s="1" t="s">
        <v>44</v>
      </c>
      <c r="E38" s="1" t="str">
        <f>UPPER(TRIM(D38))</f>
        <v>COMMUNICATION DELAY</v>
      </c>
      <c r="F38" s="1" t="s">
        <v>2</v>
      </c>
      <c r="G38" s="1" t="s">
        <v>16</v>
      </c>
      <c r="H38" s="1" t="str">
        <f>IF(OR(TRIM(G38)="Yes",TRIM(G38)="YES",TRIM(G38)="Y",TRIM(G38)="yes"),"Yes","No")</f>
        <v>No</v>
      </c>
      <c r="J38" s="1" t="str">
        <f>IF(OR(TRIM(I38)="Yes",TRIM(I38)="YES",TRIM(I38)="Y",TRIM(I38)="yes"),"Yes","No")</f>
        <v>No</v>
      </c>
      <c r="K38" s="1" t="s">
        <v>5</v>
      </c>
      <c r="L38" s="1" t="str">
        <f>IF(C38="","Yes","No")</f>
        <v>No</v>
      </c>
      <c r="M38" s="1">
        <f>IF(C38="", "", C38 - B38)</f>
        <v>3</v>
      </c>
      <c r="N38" s="3">
        <f>DATE(YEAR(B38),MONTH(B38),1)</f>
        <v>45689</v>
      </c>
      <c r="O38" s="2">
        <f>DATE(YEAR(B38),MONTH(B38),1)</f>
        <v>45689</v>
      </c>
    </row>
    <row r="39" spans="1:15" x14ac:dyDescent="0.2">
      <c r="A39" s="1" t="s">
        <v>71</v>
      </c>
      <c r="B39" s="3">
        <v>45741</v>
      </c>
      <c r="C39" s="3">
        <v>45743</v>
      </c>
      <c r="D39" s="1" t="s">
        <v>22</v>
      </c>
      <c r="E39" s="1" t="str">
        <f>UPPER(TRIM(D39))</f>
        <v>BILLING ISSUE</v>
      </c>
      <c r="F39" s="1" t="s">
        <v>21</v>
      </c>
      <c r="G39" s="1" t="s">
        <v>9</v>
      </c>
      <c r="H39" s="1" t="str">
        <f>IF(OR(TRIM(G39)="Yes",TRIM(G39)="YES",TRIM(G39)="Y",TRIM(G39)="yes"),"Yes","No")</f>
        <v>No</v>
      </c>
      <c r="J39" s="1" t="str">
        <f>IF(OR(TRIM(I39)="Yes",TRIM(I39)="YES",TRIM(I39)="Y",TRIM(I39)="yes"),"Yes","No")</f>
        <v>No</v>
      </c>
      <c r="L39" s="1" t="str">
        <f>IF(C39="","Yes","No")</f>
        <v>No</v>
      </c>
      <c r="M39" s="1">
        <f>IF(C39="", "", C39 - B39)</f>
        <v>2</v>
      </c>
      <c r="N39" s="3">
        <f>DATE(YEAR(B39),MONTH(B39),1)</f>
        <v>45717</v>
      </c>
      <c r="O39" s="2">
        <f>DATE(YEAR(B39),MONTH(B39),1)</f>
        <v>45717</v>
      </c>
    </row>
    <row r="40" spans="1:15" x14ac:dyDescent="0.2">
      <c r="A40" s="1" t="s">
        <v>128</v>
      </c>
      <c r="B40" s="3">
        <v>45582</v>
      </c>
      <c r="C40" s="3">
        <v>45590</v>
      </c>
      <c r="D40" s="1" t="s">
        <v>24</v>
      </c>
      <c r="E40" s="1" t="str">
        <f>UPPER(TRIM(D40))</f>
        <v>BILLING ISSUE</v>
      </c>
      <c r="F40" s="1" t="s">
        <v>2</v>
      </c>
      <c r="G40" s="1" t="s">
        <v>9</v>
      </c>
      <c r="H40" s="1" t="str">
        <f>IF(OR(TRIM(G40)="Yes",TRIM(G40)="YES",TRIM(G40)="Y",TRIM(G40)="yes"),"Yes","No")</f>
        <v>No</v>
      </c>
      <c r="I40" s="1" t="s">
        <v>1</v>
      </c>
      <c r="J40" s="1" t="str">
        <f>IF(OR(TRIM(I40)="Yes",TRIM(I40)="YES",TRIM(I40)="Y",TRIM(I40)="yes"),"Yes","No")</f>
        <v>Yes</v>
      </c>
      <c r="K40" s="1" t="s">
        <v>5</v>
      </c>
      <c r="L40" s="1" t="str">
        <f>IF(C40="","Yes","No")</f>
        <v>No</v>
      </c>
      <c r="M40" s="1">
        <f>IF(C40="", "", C40 - B40)</f>
        <v>8</v>
      </c>
      <c r="N40" s="3">
        <f>DATE(YEAR(B40),MONTH(B40),1)</f>
        <v>45566</v>
      </c>
      <c r="O40" s="2">
        <f>DATE(YEAR(B40),MONTH(B40),1)</f>
        <v>45566</v>
      </c>
    </row>
    <row r="41" spans="1:15" x14ac:dyDescent="0.2">
      <c r="A41" s="1" t="s">
        <v>245</v>
      </c>
      <c r="B41" s="3">
        <v>45710</v>
      </c>
      <c r="C41" s="3">
        <v>45711</v>
      </c>
      <c r="D41" s="1" t="s">
        <v>35</v>
      </c>
      <c r="E41" s="1" t="str">
        <f>UPPER(TRIM(D41))</f>
        <v>DOCUMENTATION ERROR</v>
      </c>
      <c r="F41" s="1" t="s">
        <v>21</v>
      </c>
      <c r="G41" s="1" t="s">
        <v>9</v>
      </c>
      <c r="H41" s="1" t="str">
        <f>IF(OR(TRIM(G41)="Yes",TRIM(G41)="YES",TRIM(G41)="Y",TRIM(G41)="yes"),"Yes","No")</f>
        <v>No</v>
      </c>
      <c r="I41" s="1" t="s">
        <v>0</v>
      </c>
      <c r="J41" s="1" t="str">
        <f>IF(OR(TRIM(I41)="Yes",TRIM(I41)="YES",TRIM(I41)="Y",TRIM(I41)="yes"),"Yes","No")</f>
        <v>Yes</v>
      </c>
      <c r="K41" s="1" t="s">
        <v>29</v>
      </c>
      <c r="L41" s="1" t="str">
        <f>IF(C41="","Yes","No")</f>
        <v>No</v>
      </c>
      <c r="M41" s="1">
        <f>IF(C41="", "", C41 - B41)</f>
        <v>1</v>
      </c>
      <c r="N41" s="3">
        <f>DATE(YEAR(B41),MONTH(B41),1)</f>
        <v>45689</v>
      </c>
      <c r="O41" s="2">
        <f>DATE(YEAR(B41),MONTH(B41),1)</f>
        <v>45689</v>
      </c>
    </row>
    <row r="42" spans="1:15" x14ac:dyDescent="0.2">
      <c r="A42" s="1" t="s">
        <v>215</v>
      </c>
      <c r="B42" s="3">
        <v>45666</v>
      </c>
      <c r="C42" s="3">
        <v>45674</v>
      </c>
      <c r="D42" s="1" t="s">
        <v>19</v>
      </c>
      <c r="E42" s="1" t="str">
        <f>UPPER(TRIM(D42))</f>
        <v>DOC ERROR</v>
      </c>
      <c r="F42" s="1" t="s">
        <v>18</v>
      </c>
      <c r="G42" s="1" t="s">
        <v>12</v>
      </c>
      <c r="H42" s="1" t="str">
        <f>IF(OR(TRIM(G42)="Yes",TRIM(G42)="YES",TRIM(G42)="Y",TRIM(G42)="yes"),"Yes","No")</f>
        <v>No</v>
      </c>
      <c r="I42" s="1" t="s">
        <v>0</v>
      </c>
      <c r="J42" s="1" t="str">
        <f>IF(OR(TRIM(I42)="Yes",TRIM(I42)="YES",TRIM(I42)="Y",TRIM(I42)="yes"),"Yes","No")</f>
        <v>Yes</v>
      </c>
      <c r="L42" s="1" t="str">
        <f>IF(C42="","Yes","No")</f>
        <v>No</v>
      </c>
      <c r="M42" s="1">
        <f>IF(C42="", "", C42 - B42)</f>
        <v>8</v>
      </c>
      <c r="N42" s="3">
        <f>DATE(YEAR(B42),MONTH(B42),1)</f>
        <v>45658</v>
      </c>
      <c r="O42" s="2">
        <f>DATE(YEAR(B42),MONTH(B42),1)</f>
        <v>45658</v>
      </c>
    </row>
    <row r="43" spans="1:15" x14ac:dyDescent="0.2">
      <c r="A43" s="1" t="s">
        <v>61</v>
      </c>
      <c r="B43" s="3">
        <v>45735</v>
      </c>
      <c r="D43" s="1" t="s">
        <v>7</v>
      </c>
      <c r="E43" s="1" t="str">
        <f>UPPER(TRIM(D43))</f>
        <v>BILLING ISSUE</v>
      </c>
      <c r="F43" s="1" t="s">
        <v>18</v>
      </c>
      <c r="G43" s="1" t="s">
        <v>1</v>
      </c>
      <c r="H43" s="1" t="str">
        <f>IF(OR(TRIM(G43)="Yes",TRIM(G43)="YES",TRIM(G43)="Y",TRIM(G43)="yes"),"Yes","No")</f>
        <v>Yes</v>
      </c>
      <c r="J43" s="1" t="str">
        <f>IF(OR(TRIM(I43)="Yes",TRIM(I43)="YES",TRIM(I43)="Y",TRIM(I43)="yes"),"Yes","No")</f>
        <v>No</v>
      </c>
      <c r="L43" s="1" t="str">
        <f>IF(C43="","Yes","No")</f>
        <v>Yes</v>
      </c>
      <c r="M43" s="1" t="str">
        <f>IF(C43="", "", C43 - B43)</f>
        <v/>
      </c>
      <c r="N43" s="3">
        <f>DATE(YEAR(B43),MONTH(B43),1)</f>
        <v>45717</v>
      </c>
      <c r="O43" s="2">
        <f>DATE(YEAR(B43),MONTH(B43),1)</f>
        <v>45717</v>
      </c>
    </row>
    <row r="44" spans="1:15" x14ac:dyDescent="0.2">
      <c r="A44" s="1" t="s">
        <v>184</v>
      </c>
      <c r="B44" s="3">
        <v>45709</v>
      </c>
      <c r="C44" s="3">
        <v>45719</v>
      </c>
      <c r="D44" s="1" t="s">
        <v>35</v>
      </c>
      <c r="E44" s="1" t="str">
        <f>UPPER(TRIM(D44))</f>
        <v>DOCUMENTATION ERROR</v>
      </c>
      <c r="G44" s="1" t="s">
        <v>47</v>
      </c>
      <c r="H44" s="1" t="str">
        <f>IF(OR(TRIM(G44)="Yes",TRIM(G44)="YES",TRIM(G44)="Y",TRIM(G44)="yes"),"Yes","No")</f>
        <v>Yes</v>
      </c>
      <c r="I44" s="1" t="s">
        <v>16</v>
      </c>
      <c r="J44" s="1" t="str">
        <f>IF(OR(TRIM(I44)="Yes",TRIM(I44)="YES",TRIM(I44)="Y",TRIM(I44)="yes"),"Yes","No")</f>
        <v>No</v>
      </c>
      <c r="L44" s="1" t="str">
        <f>IF(C44="","Yes","No")</f>
        <v>No</v>
      </c>
      <c r="M44" s="1">
        <f>IF(C44="", "", C44 - B44)</f>
        <v>10</v>
      </c>
      <c r="N44" s="3">
        <f>DATE(YEAR(B44),MONTH(B44),1)</f>
        <v>45689</v>
      </c>
      <c r="O44" s="2">
        <f>DATE(YEAR(B44),MONTH(B44),1)</f>
        <v>45689</v>
      </c>
    </row>
    <row r="45" spans="1:15" x14ac:dyDescent="0.2">
      <c r="A45" s="1" t="s">
        <v>122</v>
      </c>
      <c r="B45" s="3">
        <v>45694</v>
      </c>
      <c r="D45" s="1" t="s">
        <v>33</v>
      </c>
      <c r="E45" s="1" t="str">
        <f>UPPER(TRIM(D45))</f>
        <v>POLICY UPDATE</v>
      </c>
      <c r="F45" s="1" t="s">
        <v>6</v>
      </c>
      <c r="G45" s="1" t="s">
        <v>9</v>
      </c>
      <c r="H45" s="1" t="str">
        <f>IF(OR(TRIM(G45)="Yes",TRIM(G45)="YES",TRIM(G45)="Y",TRIM(G45)="yes"),"Yes","No")</f>
        <v>No</v>
      </c>
      <c r="I45" s="1" t="s">
        <v>9</v>
      </c>
      <c r="J45" s="1" t="str">
        <f>IF(OR(TRIM(I45)="Yes",TRIM(I45)="YES",TRIM(I45)="Y",TRIM(I45)="yes"),"Yes","No")</f>
        <v>No</v>
      </c>
      <c r="K45" s="1" t="s">
        <v>29</v>
      </c>
      <c r="L45" s="1" t="str">
        <f>IF(C45="","Yes","No")</f>
        <v>Yes</v>
      </c>
      <c r="M45" s="1" t="str">
        <f>IF(C45="", "", C45 - B45)</f>
        <v/>
      </c>
      <c r="N45" s="3">
        <f>DATE(YEAR(B45),MONTH(B45),1)</f>
        <v>45689</v>
      </c>
      <c r="O45" s="2">
        <f>DATE(YEAR(B45),MONTH(B45),1)</f>
        <v>45689</v>
      </c>
    </row>
    <row r="46" spans="1:15" x14ac:dyDescent="0.2">
      <c r="A46" s="1" t="s">
        <v>98</v>
      </c>
      <c r="B46" s="3">
        <v>45652</v>
      </c>
      <c r="C46" s="3">
        <v>45669</v>
      </c>
      <c r="D46" s="1" t="s">
        <v>7</v>
      </c>
      <c r="E46" s="1" t="str">
        <f>UPPER(TRIM(D46))</f>
        <v>BILLING ISSUE</v>
      </c>
      <c r="F46" s="1" t="s">
        <v>6</v>
      </c>
      <c r="G46" s="1" t="s">
        <v>1</v>
      </c>
      <c r="H46" s="1" t="str">
        <f>IF(OR(TRIM(G46)="Yes",TRIM(G46)="YES",TRIM(G46)="Y",TRIM(G46)="yes"),"Yes","No")</f>
        <v>Yes</v>
      </c>
      <c r="I46" s="1" t="s">
        <v>0</v>
      </c>
      <c r="J46" s="1" t="str">
        <f>IF(OR(TRIM(I46)="Yes",TRIM(I46)="YES",TRIM(I46)="Y",TRIM(I46)="yes"),"Yes","No")</f>
        <v>Yes</v>
      </c>
      <c r="K46" s="1" t="s">
        <v>5</v>
      </c>
      <c r="L46" s="1" t="str">
        <f>IF(C46="","Yes","No")</f>
        <v>No</v>
      </c>
      <c r="M46" s="1">
        <f>IF(C46="", "", C46 - B46)</f>
        <v>17</v>
      </c>
      <c r="N46" s="3">
        <f>DATE(YEAR(B46),MONTH(B46),1)</f>
        <v>45627</v>
      </c>
      <c r="O46" s="2">
        <f>DATE(YEAR(B46),MONTH(B46),1)</f>
        <v>45627</v>
      </c>
    </row>
    <row r="47" spans="1:15" x14ac:dyDescent="0.2">
      <c r="A47" s="1" t="s">
        <v>102</v>
      </c>
      <c r="B47" s="3">
        <v>45728</v>
      </c>
      <c r="C47" s="3">
        <v>45729</v>
      </c>
      <c r="D47" s="1" t="s">
        <v>35</v>
      </c>
      <c r="E47" s="1" t="str">
        <f>UPPER(TRIM(D47))</f>
        <v>DOCUMENTATION ERROR</v>
      </c>
      <c r="F47" s="1" t="s">
        <v>2</v>
      </c>
      <c r="G47" s="1" t="s">
        <v>0</v>
      </c>
      <c r="H47" s="1" t="str">
        <f>IF(OR(TRIM(G47)="Yes",TRIM(G47)="YES",TRIM(G47)="Y",TRIM(G47)="yes"),"Yes","No")</f>
        <v>Yes</v>
      </c>
      <c r="I47" s="1" t="s">
        <v>0</v>
      </c>
      <c r="J47" s="1" t="str">
        <f>IF(OR(TRIM(I47)="Yes",TRIM(I47)="YES",TRIM(I47)="Y",TRIM(I47)="yes"),"Yes","No")</f>
        <v>Yes</v>
      </c>
      <c r="K47" s="1" t="s">
        <v>15</v>
      </c>
      <c r="L47" s="1" t="str">
        <f>IF(C47="","Yes","No")</f>
        <v>No</v>
      </c>
      <c r="M47" s="1">
        <f>IF(C47="", "", C47 - B47)</f>
        <v>1</v>
      </c>
      <c r="N47" s="3">
        <f>DATE(YEAR(B47),MONTH(B47),1)</f>
        <v>45717</v>
      </c>
      <c r="O47" s="2">
        <f>DATE(YEAR(B47),MONTH(B47),1)</f>
        <v>45717</v>
      </c>
    </row>
    <row r="48" spans="1:15" x14ac:dyDescent="0.2">
      <c r="A48" s="1" t="s">
        <v>261</v>
      </c>
      <c r="B48" s="3">
        <v>45604</v>
      </c>
      <c r="C48" s="3">
        <v>45609</v>
      </c>
      <c r="D48" s="1" t="s">
        <v>22</v>
      </c>
      <c r="E48" s="1" t="str">
        <f>UPPER(TRIM(D48))</f>
        <v>BILLING ISSUE</v>
      </c>
      <c r="F48" s="1" t="s">
        <v>18</v>
      </c>
      <c r="G48" s="1" t="s">
        <v>47</v>
      </c>
      <c r="H48" s="1" t="str">
        <f>IF(OR(TRIM(G48)="Yes",TRIM(G48)="YES",TRIM(G48)="Y",TRIM(G48)="yes"),"Yes","No")</f>
        <v>Yes</v>
      </c>
      <c r="J48" s="1" t="str">
        <f>IF(OR(TRIM(I48)="Yes",TRIM(I48)="YES",TRIM(I48)="Y",TRIM(I48)="yes"),"Yes","No")</f>
        <v>No</v>
      </c>
      <c r="K48" s="1" t="s">
        <v>15</v>
      </c>
      <c r="L48" s="1" t="str">
        <f>IF(C48="","Yes","No")</f>
        <v>No</v>
      </c>
      <c r="M48" s="1">
        <f>IF(C48="", "", C48 - B48)</f>
        <v>5</v>
      </c>
      <c r="N48" s="3">
        <f>DATE(YEAR(B48),MONTH(B48),1)</f>
        <v>45597</v>
      </c>
      <c r="O48" s="2">
        <f>DATE(YEAR(B48),MONTH(B48),1)</f>
        <v>45597</v>
      </c>
    </row>
    <row r="49" spans="1:15" x14ac:dyDescent="0.2">
      <c r="A49" s="1" t="s">
        <v>31</v>
      </c>
      <c r="B49" s="3">
        <v>45763</v>
      </c>
      <c r="C49" s="3">
        <v>45765</v>
      </c>
      <c r="D49" s="1" t="s">
        <v>27</v>
      </c>
      <c r="E49" s="1" t="str">
        <f>UPPER(TRIM(D49))</f>
        <v>SERVICE DELAY</v>
      </c>
      <c r="F49" s="1" t="s">
        <v>21</v>
      </c>
      <c r="G49" s="1" t="s">
        <v>9</v>
      </c>
      <c r="H49" s="1" t="str">
        <f>IF(OR(TRIM(G49)="Yes",TRIM(G49)="YES",TRIM(G49)="Y",TRIM(G49)="yes"),"Yes","No")</f>
        <v>No</v>
      </c>
      <c r="I49" s="1" t="s">
        <v>16</v>
      </c>
      <c r="J49" s="1" t="str">
        <f>IF(OR(TRIM(I49)="Yes",TRIM(I49)="YES",TRIM(I49)="Y",TRIM(I49)="yes"),"Yes","No")</f>
        <v>No</v>
      </c>
      <c r="K49" s="1" t="s">
        <v>5</v>
      </c>
      <c r="L49" s="1" t="str">
        <f>IF(C49="","Yes","No")</f>
        <v>No</v>
      </c>
      <c r="M49" s="1">
        <f>IF(C49="", "", C49 - B49)</f>
        <v>2</v>
      </c>
      <c r="N49" s="3">
        <f>DATE(YEAR(B49),MONTH(B49),1)</f>
        <v>45748</v>
      </c>
      <c r="O49" s="2">
        <f>DATE(YEAR(B49),MONTH(B49),1)</f>
        <v>45748</v>
      </c>
    </row>
    <row r="50" spans="1:15" x14ac:dyDescent="0.2">
      <c r="A50" s="1" t="s">
        <v>236</v>
      </c>
      <c r="B50" s="3">
        <v>45580</v>
      </c>
      <c r="D50" s="1" t="s">
        <v>27</v>
      </c>
      <c r="E50" s="1" t="str">
        <f>UPPER(TRIM(D50))</f>
        <v>SERVICE DELAY</v>
      </c>
      <c r="G50" s="1" t="s">
        <v>16</v>
      </c>
      <c r="H50" s="1" t="str">
        <f>IF(OR(TRIM(G50)="Yes",TRIM(G50)="YES",TRIM(G50)="Y",TRIM(G50)="yes"),"Yes","No")</f>
        <v>No</v>
      </c>
      <c r="I50" s="1" t="s">
        <v>1</v>
      </c>
      <c r="J50" s="1" t="str">
        <f>IF(OR(TRIM(I50)="Yes",TRIM(I50)="YES",TRIM(I50)="Y",TRIM(I50)="yes"),"Yes","No")</f>
        <v>Yes</v>
      </c>
      <c r="L50" s="1" t="str">
        <f>IF(C50="","Yes","No")</f>
        <v>Yes</v>
      </c>
      <c r="M50" s="1" t="str">
        <f>IF(C50="", "", C50 - B50)</f>
        <v/>
      </c>
      <c r="N50" s="3">
        <f>DATE(YEAR(B50),MONTH(B50),1)</f>
        <v>45566</v>
      </c>
      <c r="O50" s="2">
        <f>DATE(YEAR(B50),MONTH(B50),1)</f>
        <v>45566</v>
      </c>
    </row>
    <row r="51" spans="1:15" x14ac:dyDescent="0.2">
      <c r="A51" s="1" t="s">
        <v>60</v>
      </c>
      <c r="B51" s="3">
        <v>45630</v>
      </c>
      <c r="C51" s="3">
        <v>45632</v>
      </c>
      <c r="D51" s="1" t="s">
        <v>3</v>
      </c>
      <c r="E51" s="1" t="str">
        <f>UPPER(TRIM(D51))</f>
        <v>COMMUNICATION DELAY</v>
      </c>
      <c r="F51" s="1" t="s">
        <v>18</v>
      </c>
      <c r="G51" s="1" t="s">
        <v>9</v>
      </c>
      <c r="H51" s="1" t="str">
        <f>IF(OR(TRIM(G51)="Yes",TRIM(G51)="YES",TRIM(G51)="Y",TRIM(G51)="yes"),"Yes","No")</f>
        <v>No</v>
      </c>
      <c r="I51" s="1" t="s">
        <v>0</v>
      </c>
      <c r="J51" s="1" t="str">
        <f>IF(OR(TRIM(I51)="Yes",TRIM(I51)="YES",TRIM(I51)="Y",TRIM(I51)="yes"),"Yes","No")</f>
        <v>Yes</v>
      </c>
      <c r="K51" s="1" t="s">
        <v>29</v>
      </c>
      <c r="L51" s="1" t="str">
        <f>IF(C51="","Yes","No")</f>
        <v>No</v>
      </c>
      <c r="M51" s="1">
        <f>IF(C51="", "", C51 - B51)</f>
        <v>2</v>
      </c>
      <c r="N51" s="3">
        <f>DATE(YEAR(B51),MONTH(B51),1)</f>
        <v>45627</v>
      </c>
      <c r="O51" s="2">
        <f>DATE(YEAR(B51),MONTH(B51),1)</f>
        <v>45627</v>
      </c>
    </row>
    <row r="52" spans="1:15" x14ac:dyDescent="0.2">
      <c r="A52" s="1" t="s">
        <v>137</v>
      </c>
      <c r="B52" s="3">
        <v>45571</v>
      </c>
      <c r="D52" s="1" t="s">
        <v>27</v>
      </c>
      <c r="E52" s="1" t="str">
        <f>UPPER(TRIM(D52))</f>
        <v>SERVICE DELAY</v>
      </c>
      <c r="F52" s="1" t="s">
        <v>21</v>
      </c>
      <c r="G52" s="1" t="s">
        <v>12</v>
      </c>
      <c r="H52" s="1" t="str">
        <f>IF(OR(TRIM(G52)="Yes",TRIM(G52)="YES",TRIM(G52)="Y",TRIM(G52)="yes"),"Yes","No")</f>
        <v>No</v>
      </c>
      <c r="I52" s="1" t="s">
        <v>16</v>
      </c>
      <c r="J52" s="1" t="str">
        <f>IF(OR(TRIM(I52)="Yes",TRIM(I52)="YES",TRIM(I52)="Y",TRIM(I52)="yes"),"Yes","No")</f>
        <v>No</v>
      </c>
      <c r="K52" s="1" t="s">
        <v>5</v>
      </c>
      <c r="L52" s="1" t="str">
        <f>IF(C52="","Yes","No")</f>
        <v>Yes</v>
      </c>
      <c r="M52" s="1" t="str">
        <f>IF(C52="", "", C52 - B52)</f>
        <v/>
      </c>
      <c r="N52" s="3">
        <f>DATE(YEAR(B52),MONTH(B52),1)</f>
        <v>45566</v>
      </c>
      <c r="O52" s="2">
        <f>DATE(YEAR(B52),MONTH(B52),1)</f>
        <v>45566</v>
      </c>
    </row>
    <row r="53" spans="1:15" x14ac:dyDescent="0.2">
      <c r="A53" s="1" t="s">
        <v>260</v>
      </c>
      <c r="B53" s="3">
        <v>45633</v>
      </c>
      <c r="C53" s="3">
        <v>45651</v>
      </c>
      <c r="D53" s="1" t="s">
        <v>19</v>
      </c>
      <c r="E53" s="1" t="str">
        <f>UPPER(TRIM(D53))</f>
        <v>DOC ERROR</v>
      </c>
      <c r="G53" s="1" t="s">
        <v>0</v>
      </c>
      <c r="H53" s="1" t="str">
        <f>IF(OR(TRIM(G53)="Yes",TRIM(G53)="YES",TRIM(G53)="Y",TRIM(G53)="yes"),"Yes","No")</f>
        <v>Yes</v>
      </c>
      <c r="J53" s="1" t="str">
        <f>IF(OR(TRIM(I53)="Yes",TRIM(I53)="YES",TRIM(I53)="Y",TRIM(I53)="yes"),"Yes","No")</f>
        <v>No</v>
      </c>
      <c r="L53" s="1" t="str">
        <f>IF(C53="","Yes","No")</f>
        <v>No</v>
      </c>
      <c r="M53" s="1">
        <f>IF(C53="", "", C53 - B53)</f>
        <v>18</v>
      </c>
      <c r="N53" s="3">
        <f>DATE(YEAR(B53),MONTH(B53),1)</f>
        <v>45627</v>
      </c>
      <c r="O53" s="2">
        <f>DATE(YEAR(B53),MONTH(B53),1)</f>
        <v>45627</v>
      </c>
    </row>
    <row r="54" spans="1:15" x14ac:dyDescent="0.2">
      <c r="A54" s="1" t="s">
        <v>199</v>
      </c>
      <c r="B54" s="3">
        <v>45698</v>
      </c>
      <c r="C54" s="3">
        <v>45710</v>
      </c>
      <c r="D54" s="1" t="s">
        <v>7</v>
      </c>
      <c r="E54" s="1" t="str">
        <f>UPPER(TRIM(D54))</f>
        <v>BILLING ISSUE</v>
      </c>
      <c r="F54" s="1" t="s">
        <v>6</v>
      </c>
      <c r="G54" s="1" t="s">
        <v>47</v>
      </c>
      <c r="H54" s="1" t="str">
        <f>IF(OR(TRIM(G54)="Yes",TRIM(G54)="YES",TRIM(G54)="Y",TRIM(G54)="yes"),"Yes","No")</f>
        <v>Yes</v>
      </c>
      <c r="I54" s="1" t="s">
        <v>9</v>
      </c>
      <c r="J54" s="1" t="str">
        <f>IF(OR(TRIM(I54)="Yes",TRIM(I54)="YES",TRIM(I54)="Y",TRIM(I54)="yes"),"Yes","No")</f>
        <v>No</v>
      </c>
      <c r="K54" s="1" t="s">
        <v>29</v>
      </c>
      <c r="L54" s="1" t="str">
        <f>IF(C54="","Yes","No")</f>
        <v>No</v>
      </c>
      <c r="M54" s="1">
        <f>IF(C54="", "", C54 - B54)</f>
        <v>12</v>
      </c>
      <c r="N54" s="3">
        <f>DATE(YEAR(B54),MONTH(B54),1)</f>
        <v>45689</v>
      </c>
      <c r="O54" s="2">
        <f>DATE(YEAR(B54),MONTH(B54),1)</f>
        <v>45689</v>
      </c>
    </row>
    <row r="55" spans="1:15" x14ac:dyDescent="0.2">
      <c r="A55" s="1" t="s">
        <v>99</v>
      </c>
      <c r="B55" s="3">
        <v>45694</v>
      </c>
      <c r="C55" s="3">
        <v>45705</v>
      </c>
      <c r="D55" s="1" t="s">
        <v>10</v>
      </c>
      <c r="E55" s="1" t="str">
        <f>UPPER(TRIM(D55))</f>
        <v>POLICY UPDATE</v>
      </c>
      <c r="F55" s="1" t="s">
        <v>2</v>
      </c>
      <c r="G55" s="1" t="s">
        <v>12</v>
      </c>
      <c r="H55" s="1" t="str">
        <f>IF(OR(TRIM(G55)="Yes",TRIM(G55)="YES",TRIM(G55)="Y",TRIM(G55)="yes"),"Yes","No")</f>
        <v>No</v>
      </c>
      <c r="I55" s="1" t="s">
        <v>1</v>
      </c>
      <c r="J55" s="1" t="str">
        <f>IF(OR(TRIM(I55)="Yes",TRIM(I55)="YES",TRIM(I55)="Y",TRIM(I55)="yes"),"Yes","No")</f>
        <v>Yes</v>
      </c>
      <c r="K55" s="1" t="s">
        <v>5</v>
      </c>
      <c r="L55" s="1" t="str">
        <f>IF(C55="","Yes","No")</f>
        <v>No</v>
      </c>
      <c r="M55" s="1">
        <f>IF(C55="", "", C55 - B55)</f>
        <v>11</v>
      </c>
      <c r="N55" s="3">
        <f>DATE(YEAR(B55),MONTH(B55),1)</f>
        <v>45689</v>
      </c>
      <c r="O55" s="2">
        <f>DATE(YEAR(B55),MONTH(B55),1)</f>
        <v>45689</v>
      </c>
    </row>
    <row r="56" spans="1:15" x14ac:dyDescent="0.2">
      <c r="A56" s="1" t="s">
        <v>176</v>
      </c>
      <c r="B56" s="3">
        <v>45577</v>
      </c>
      <c r="C56" s="3">
        <v>45578</v>
      </c>
      <c r="D56" s="1" t="s">
        <v>22</v>
      </c>
      <c r="E56" s="1" t="str">
        <f>UPPER(TRIM(D56))</f>
        <v>BILLING ISSUE</v>
      </c>
      <c r="F56" s="1" t="s">
        <v>18</v>
      </c>
      <c r="H56" s="1" t="str">
        <f>IF(OR(TRIM(G56)="Yes",TRIM(G56)="YES",TRIM(G56)="Y",TRIM(G56)="yes"),"Yes","No")</f>
        <v>No</v>
      </c>
      <c r="J56" s="1" t="str">
        <f>IF(OR(TRIM(I56)="Yes",TRIM(I56)="YES",TRIM(I56)="Y",TRIM(I56)="yes"),"Yes","No")</f>
        <v>No</v>
      </c>
      <c r="K56" s="1" t="s">
        <v>5</v>
      </c>
      <c r="L56" s="1" t="str">
        <f>IF(C56="","Yes","No")</f>
        <v>No</v>
      </c>
      <c r="M56" s="1">
        <f>IF(C56="", "", C56 - B56)</f>
        <v>1</v>
      </c>
      <c r="N56" s="3">
        <f>DATE(YEAR(B56),MONTH(B56),1)</f>
        <v>45566</v>
      </c>
      <c r="O56" s="2">
        <f>DATE(YEAR(B56),MONTH(B56),1)</f>
        <v>45566</v>
      </c>
    </row>
    <row r="57" spans="1:15" x14ac:dyDescent="0.2">
      <c r="A57" s="1" t="s">
        <v>176</v>
      </c>
      <c r="B57" s="3">
        <v>45702</v>
      </c>
      <c r="D57" s="1" t="s">
        <v>7</v>
      </c>
      <c r="E57" s="1" t="str">
        <f>UPPER(TRIM(D57))</f>
        <v>BILLING ISSUE</v>
      </c>
      <c r="G57" s="1" t="s">
        <v>47</v>
      </c>
      <c r="H57" s="1" t="str">
        <f>IF(OR(TRIM(G57)="Yes",TRIM(G57)="YES",TRIM(G57)="Y",TRIM(G57)="yes"),"Yes","No")</f>
        <v>Yes</v>
      </c>
      <c r="I57" s="1" t="s">
        <v>1</v>
      </c>
      <c r="J57" s="1" t="str">
        <f>IF(OR(TRIM(I57)="Yes",TRIM(I57)="YES",TRIM(I57)="Y",TRIM(I57)="yes"),"Yes","No")</f>
        <v>Yes</v>
      </c>
      <c r="L57" s="1" t="str">
        <f>IF(C57="","Yes","No")</f>
        <v>Yes</v>
      </c>
      <c r="M57" s="1" t="str">
        <f>IF(C57="", "", C57 - B57)</f>
        <v/>
      </c>
      <c r="N57" s="3">
        <f>DATE(YEAR(B57),MONTH(B57),1)</f>
        <v>45689</v>
      </c>
      <c r="O57" s="2">
        <f>DATE(YEAR(B57),MONTH(B57),1)</f>
        <v>45689</v>
      </c>
    </row>
    <row r="58" spans="1:15" x14ac:dyDescent="0.2">
      <c r="A58" s="1" t="s">
        <v>187</v>
      </c>
      <c r="B58" s="3">
        <v>45738</v>
      </c>
      <c r="C58" s="3">
        <v>45755</v>
      </c>
      <c r="D58" s="1" t="s">
        <v>44</v>
      </c>
      <c r="E58" s="1" t="str">
        <f>UPPER(TRIM(D58))</f>
        <v>COMMUNICATION DELAY</v>
      </c>
      <c r="F58" s="1" t="s">
        <v>18</v>
      </c>
      <c r="G58" s="1" t="s">
        <v>12</v>
      </c>
      <c r="H58" s="1" t="str">
        <f>IF(OR(TRIM(G58)="Yes",TRIM(G58)="YES",TRIM(G58)="Y",TRIM(G58)="yes"),"Yes","No")</f>
        <v>No</v>
      </c>
      <c r="J58" s="1" t="str">
        <f>IF(OR(TRIM(I58)="Yes",TRIM(I58)="YES",TRIM(I58)="Y",TRIM(I58)="yes"),"Yes","No")</f>
        <v>No</v>
      </c>
      <c r="K58" s="1" t="s">
        <v>15</v>
      </c>
      <c r="L58" s="1" t="str">
        <f>IF(C58="","Yes","No")</f>
        <v>No</v>
      </c>
      <c r="M58" s="1">
        <f>IF(C58="", "", C58 - B58)</f>
        <v>17</v>
      </c>
      <c r="N58" s="3">
        <f>DATE(YEAR(B58),MONTH(B58),1)</f>
        <v>45717</v>
      </c>
      <c r="O58" s="2">
        <f>DATE(YEAR(B58),MONTH(B58),1)</f>
        <v>45717</v>
      </c>
    </row>
    <row r="59" spans="1:15" x14ac:dyDescent="0.2">
      <c r="A59" s="1" t="s">
        <v>109</v>
      </c>
      <c r="B59" s="3">
        <v>45714</v>
      </c>
      <c r="C59" s="3">
        <v>45727</v>
      </c>
      <c r="D59" s="1" t="s">
        <v>10</v>
      </c>
      <c r="E59" s="1" t="str">
        <f>UPPER(TRIM(D59))</f>
        <v>POLICY UPDATE</v>
      </c>
      <c r="F59" s="1" t="s">
        <v>18</v>
      </c>
      <c r="G59" s="1" t="s">
        <v>12</v>
      </c>
      <c r="H59" s="1" t="str">
        <f>IF(OR(TRIM(G59)="Yes",TRIM(G59)="YES",TRIM(G59)="Y",TRIM(G59)="yes"),"Yes","No")</f>
        <v>No</v>
      </c>
      <c r="J59" s="1" t="str">
        <f>IF(OR(TRIM(I59)="Yes",TRIM(I59)="YES",TRIM(I59)="Y",TRIM(I59)="yes"),"Yes","No")</f>
        <v>No</v>
      </c>
      <c r="K59" s="1" t="s">
        <v>5</v>
      </c>
      <c r="L59" s="1" t="str">
        <f>IF(C59="","Yes","No")</f>
        <v>No</v>
      </c>
      <c r="M59" s="1">
        <f>IF(C59="", "", C59 - B59)</f>
        <v>13</v>
      </c>
      <c r="N59" s="3">
        <f>DATE(YEAR(B59),MONTH(B59),1)</f>
        <v>45689</v>
      </c>
      <c r="O59" s="2">
        <f>DATE(YEAR(B59),MONTH(B59),1)</f>
        <v>45689</v>
      </c>
    </row>
    <row r="60" spans="1:15" x14ac:dyDescent="0.2">
      <c r="A60" s="1" t="s">
        <v>39</v>
      </c>
      <c r="B60" s="3">
        <v>45758</v>
      </c>
      <c r="C60" s="3">
        <v>45778</v>
      </c>
      <c r="D60" s="1" t="s">
        <v>19</v>
      </c>
      <c r="E60" s="1" t="str">
        <f>UPPER(TRIM(D60))</f>
        <v>DOC ERROR</v>
      </c>
      <c r="F60" s="1" t="s">
        <v>2</v>
      </c>
      <c r="G60" s="1" t="s">
        <v>1</v>
      </c>
      <c r="H60" s="1" t="str">
        <f>IF(OR(TRIM(G60)="Yes",TRIM(G60)="YES",TRIM(G60)="Y",TRIM(G60)="yes"),"Yes","No")</f>
        <v>Yes</v>
      </c>
      <c r="I60" s="1" t="s">
        <v>1</v>
      </c>
      <c r="J60" s="1" t="str">
        <f>IF(OR(TRIM(I60)="Yes",TRIM(I60)="YES",TRIM(I60)="Y",TRIM(I60)="yes"),"Yes","No")</f>
        <v>Yes</v>
      </c>
      <c r="L60" s="1" t="str">
        <f>IF(C60="","Yes","No")</f>
        <v>No</v>
      </c>
      <c r="M60" s="1">
        <f>IF(C60="", "", C60 - B60)</f>
        <v>20</v>
      </c>
      <c r="N60" s="3">
        <f>DATE(YEAR(B60),MONTH(B60),1)</f>
        <v>45748</v>
      </c>
      <c r="O60" s="2">
        <f>DATE(YEAR(B60),MONTH(B60),1)</f>
        <v>45748</v>
      </c>
    </row>
    <row r="61" spans="1:15" x14ac:dyDescent="0.2">
      <c r="A61" s="1" t="s">
        <v>40</v>
      </c>
      <c r="B61" s="3">
        <v>45740</v>
      </c>
      <c r="C61" s="3">
        <v>45758</v>
      </c>
      <c r="D61" s="1" t="s">
        <v>27</v>
      </c>
      <c r="E61" s="1" t="str">
        <f>UPPER(TRIM(D61))</f>
        <v>SERVICE DELAY</v>
      </c>
      <c r="F61" s="1" t="s">
        <v>2</v>
      </c>
      <c r="H61" s="1" t="str">
        <f>IF(OR(TRIM(G61)="Yes",TRIM(G61)="YES",TRIM(G61)="Y",TRIM(G61)="yes"),"Yes","No")</f>
        <v>No</v>
      </c>
      <c r="I61" s="1" t="s">
        <v>9</v>
      </c>
      <c r="J61" s="1" t="str">
        <f>IF(OR(TRIM(I61)="Yes",TRIM(I61)="YES",TRIM(I61)="Y",TRIM(I61)="yes"),"Yes","No")</f>
        <v>No</v>
      </c>
      <c r="L61" s="1" t="str">
        <f>IF(C61="","Yes","No")</f>
        <v>No</v>
      </c>
      <c r="M61" s="1">
        <f>IF(C61="", "", C61 - B61)</f>
        <v>18</v>
      </c>
      <c r="N61" s="3">
        <f>DATE(YEAR(B61),MONTH(B61),1)</f>
        <v>45717</v>
      </c>
      <c r="O61" s="2">
        <f>DATE(YEAR(B61),MONTH(B61),1)</f>
        <v>45717</v>
      </c>
    </row>
    <row r="62" spans="1:15" x14ac:dyDescent="0.2">
      <c r="A62" s="1" t="s">
        <v>28</v>
      </c>
      <c r="B62" s="3">
        <v>45654</v>
      </c>
      <c r="C62" s="3">
        <v>45670</v>
      </c>
      <c r="D62" s="1" t="s">
        <v>44</v>
      </c>
      <c r="E62" s="1" t="str">
        <f>UPPER(TRIM(D62))</f>
        <v>COMMUNICATION DELAY</v>
      </c>
      <c r="F62" s="1" t="s">
        <v>21</v>
      </c>
      <c r="G62" s="1" t="s">
        <v>9</v>
      </c>
      <c r="H62" s="1" t="str">
        <f>IF(OR(TRIM(G62)="Yes",TRIM(G62)="YES",TRIM(G62)="Y",TRIM(G62)="yes"),"Yes","No")</f>
        <v>No</v>
      </c>
      <c r="J62" s="1" t="str">
        <f>IF(OR(TRIM(I62)="Yes",TRIM(I62)="YES",TRIM(I62)="Y",TRIM(I62)="yes"),"Yes","No")</f>
        <v>No</v>
      </c>
      <c r="L62" s="1" t="str">
        <f>IF(C62="","Yes","No")</f>
        <v>No</v>
      </c>
      <c r="M62" s="1">
        <f>IF(C62="", "", C62 - B62)</f>
        <v>16</v>
      </c>
      <c r="N62" s="3">
        <f>DATE(YEAR(B62),MONTH(B62),1)</f>
        <v>45627</v>
      </c>
      <c r="O62" s="2">
        <f>DATE(YEAR(B62),MONTH(B62),1)</f>
        <v>45627</v>
      </c>
    </row>
    <row r="63" spans="1:15" x14ac:dyDescent="0.2">
      <c r="A63" s="1" t="s">
        <v>86</v>
      </c>
      <c r="B63" s="3">
        <v>45655</v>
      </c>
      <c r="C63" s="3">
        <v>45656</v>
      </c>
      <c r="D63" s="1" t="s">
        <v>3</v>
      </c>
      <c r="E63" s="1" t="str">
        <f>UPPER(TRIM(D63))</f>
        <v>COMMUNICATION DELAY</v>
      </c>
      <c r="F63" s="1" t="s">
        <v>6</v>
      </c>
      <c r="G63" s="1" t="s">
        <v>16</v>
      </c>
      <c r="H63" s="1" t="str">
        <f>IF(OR(TRIM(G63)="Yes",TRIM(G63)="YES",TRIM(G63)="Y",TRIM(G63)="yes"),"Yes","No")</f>
        <v>No</v>
      </c>
      <c r="I63" s="1" t="s">
        <v>9</v>
      </c>
      <c r="J63" s="1" t="str">
        <f>IF(OR(TRIM(I63)="Yes",TRIM(I63)="YES",TRIM(I63)="Y",TRIM(I63)="yes"),"Yes","No")</f>
        <v>No</v>
      </c>
      <c r="K63" s="1" t="s">
        <v>29</v>
      </c>
      <c r="L63" s="1" t="str">
        <f>IF(C63="","Yes","No")</f>
        <v>No</v>
      </c>
      <c r="M63" s="1">
        <f>IF(C63="", "", C63 - B63)</f>
        <v>1</v>
      </c>
      <c r="N63" s="3">
        <f>DATE(YEAR(B63),MONTH(B63),1)</f>
        <v>45627</v>
      </c>
      <c r="O63" s="2">
        <f>DATE(YEAR(B63),MONTH(B63),1)</f>
        <v>45627</v>
      </c>
    </row>
    <row r="64" spans="1:15" x14ac:dyDescent="0.2">
      <c r="A64" s="1" t="s">
        <v>259</v>
      </c>
      <c r="B64" s="3">
        <v>45650</v>
      </c>
      <c r="C64" s="3">
        <v>45654</v>
      </c>
      <c r="D64" s="1" t="s">
        <v>19</v>
      </c>
      <c r="E64" s="1" t="str">
        <f>UPPER(TRIM(D64))</f>
        <v>DOC ERROR</v>
      </c>
      <c r="F64" s="1" t="s">
        <v>2</v>
      </c>
      <c r="G64" s="1" t="s">
        <v>9</v>
      </c>
      <c r="H64" s="1" t="str">
        <f>IF(OR(TRIM(G64)="Yes",TRIM(G64)="YES",TRIM(G64)="Y",TRIM(G64)="yes"),"Yes","No")</f>
        <v>No</v>
      </c>
      <c r="I64" s="1" t="s">
        <v>16</v>
      </c>
      <c r="J64" s="1" t="str">
        <f>IF(OR(TRIM(I64)="Yes",TRIM(I64)="YES",TRIM(I64)="Y",TRIM(I64)="yes"),"Yes","No")</f>
        <v>No</v>
      </c>
      <c r="K64" s="1" t="s">
        <v>29</v>
      </c>
      <c r="L64" s="1" t="str">
        <f>IF(C64="","Yes","No")</f>
        <v>No</v>
      </c>
      <c r="M64" s="1">
        <f>IF(C64="", "", C64 - B64)</f>
        <v>4</v>
      </c>
      <c r="N64" s="3">
        <f>DATE(YEAR(B64),MONTH(B64),1)</f>
        <v>45627</v>
      </c>
      <c r="O64" s="2">
        <f>DATE(YEAR(B64),MONTH(B64),1)</f>
        <v>45627</v>
      </c>
    </row>
    <row r="65" spans="1:15" x14ac:dyDescent="0.2">
      <c r="A65" s="1" t="s">
        <v>136</v>
      </c>
      <c r="B65" s="3">
        <v>45608</v>
      </c>
      <c r="D65" s="1" t="s">
        <v>33</v>
      </c>
      <c r="E65" s="1" t="str">
        <f>UPPER(TRIM(D65))</f>
        <v>POLICY UPDATE</v>
      </c>
      <c r="F65" s="1" t="s">
        <v>18</v>
      </c>
      <c r="G65" s="1" t="s">
        <v>9</v>
      </c>
      <c r="H65" s="1" t="str">
        <f>IF(OR(TRIM(G65)="Yes",TRIM(G65)="YES",TRIM(G65)="Y",TRIM(G65)="yes"),"Yes","No")</f>
        <v>No</v>
      </c>
      <c r="I65" s="1" t="s">
        <v>9</v>
      </c>
      <c r="J65" s="1" t="str">
        <f>IF(OR(TRIM(I65)="Yes",TRIM(I65)="YES",TRIM(I65)="Y",TRIM(I65)="yes"),"Yes","No")</f>
        <v>No</v>
      </c>
      <c r="K65" s="1" t="s">
        <v>29</v>
      </c>
      <c r="L65" s="1" t="str">
        <f>IF(C65="","Yes","No")</f>
        <v>Yes</v>
      </c>
      <c r="M65" s="1" t="str">
        <f>IF(C65="", "", C65 - B65)</f>
        <v/>
      </c>
      <c r="N65" s="3">
        <f>DATE(YEAR(B65),MONTH(B65),1)</f>
        <v>45597</v>
      </c>
      <c r="O65" s="2">
        <f>DATE(YEAR(B65),MONTH(B65),1)</f>
        <v>45597</v>
      </c>
    </row>
    <row r="66" spans="1:15" x14ac:dyDescent="0.2">
      <c r="A66" s="1" t="s">
        <v>258</v>
      </c>
      <c r="B66" s="3">
        <v>45576</v>
      </c>
      <c r="C66" s="3">
        <v>45583</v>
      </c>
      <c r="D66" s="1" t="s">
        <v>27</v>
      </c>
      <c r="E66" s="1" t="str">
        <f>UPPER(TRIM(D66))</f>
        <v>SERVICE DELAY</v>
      </c>
      <c r="F66" s="1" t="s">
        <v>2</v>
      </c>
      <c r="G66" s="1" t="s">
        <v>0</v>
      </c>
      <c r="H66" s="1" t="str">
        <f>IF(OR(TRIM(G66)="Yes",TRIM(G66)="YES",TRIM(G66)="Y",TRIM(G66)="yes"),"Yes","No")</f>
        <v>Yes</v>
      </c>
      <c r="J66" s="1" t="str">
        <f>IF(OR(TRIM(I66)="Yes",TRIM(I66)="YES",TRIM(I66)="Y",TRIM(I66)="yes"),"Yes","No")</f>
        <v>No</v>
      </c>
      <c r="L66" s="1" t="str">
        <f>IF(C66="","Yes","No")</f>
        <v>No</v>
      </c>
      <c r="M66" s="1">
        <f>IF(C66="", "", C66 - B66)</f>
        <v>7</v>
      </c>
      <c r="N66" s="3">
        <f>DATE(YEAR(B66),MONTH(B66),1)</f>
        <v>45566</v>
      </c>
      <c r="O66" s="2">
        <f>DATE(YEAR(B66),MONTH(B66),1)</f>
        <v>45566</v>
      </c>
    </row>
    <row r="67" spans="1:15" x14ac:dyDescent="0.2">
      <c r="A67" s="1" t="s">
        <v>257</v>
      </c>
      <c r="B67" s="3">
        <v>45666</v>
      </c>
      <c r="C67" s="3">
        <v>45678</v>
      </c>
      <c r="D67" s="1" t="s">
        <v>33</v>
      </c>
      <c r="E67" s="1" t="str">
        <f>UPPER(TRIM(D67))</f>
        <v>POLICY UPDATE</v>
      </c>
      <c r="G67" s="1" t="s">
        <v>47</v>
      </c>
      <c r="H67" s="1" t="str">
        <f>IF(OR(TRIM(G67)="Yes",TRIM(G67)="YES",TRIM(G67)="Y",TRIM(G67)="yes"),"Yes","No")</f>
        <v>Yes</v>
      </c>
      <c r="I67" s="1" t="s">
        <v>16</v>
      </c>
      <c r="J67" s="1" t="str">
        <f>IF(OR(TRIM(I67)="Yes",TRIM(I67)="YES",TRIM(I67)="Y",TRIM(I67)="yes"),"Yes","No")</f>
        <v>No</v>
      </c>
      <c r="K67" s="1" t="s">
        <v>5</v>
      </c>
      <c r="L67" s="1" t="str">
        <f>IF(C67="","Yes","No")</f>
        <v>No</v>
      </c>
      <c r="M67" s="1">
        <f>IF(C67="", "", C67 - B67)</f>
        <v>12</v>
      </c>
      <c r="N67" s="3">
        <f>DATE(YEAR(B67),MONTH(B67),1)</f>
        <v>45658</v>
      </c>
      <c r="O67" s="2">
        <f>DATE(YEAR(B67),MONTH(B67),1)</f>
        <v>45658</v>
      </c>
    </row>
    <row r="68" spans="1:15" x14ac:dyDescent="0.2">
      <c r="A68" s="1" t="s">
        <v>256</v>
      </c>
      <c r="B68" s="3">
        <v>45606</v>
      </c>
      <c r="C68" s="3">
        <v>45615</v>
      </c>
      <c r="D68" s="1" t="s">
        <v>10</v>
      </c>
      <c r="E68" s="1" t="str">
        <f>UPPER(TRIM(D68))</f>
        <v>POLICY UPDATE</v>
      </c>
      <c r="F68" s="1" t="s">
        <v>6</v>
      </c>
      <c r="H68" s="1" t="str">
        <f>IF(OR(TRIM(G68)="Yes",TRIM(G68)="YES",TRIM(G68)="Y",TRIM(G68)="yes"),"Yes","No")</f>
        <v>No</v>
      </c>
      <c r="J68" s="1" t="str">
        <f>IF(OR(TRIM(I68)="Yes",TRIM(I68)="YES",TRIM(I68)="Y",TRIM(I68)="yes"),"Yes","No")</f>
        <v>No</v>
      </c>
      <c r="K68" s="1" t="s">
        <v>29</v>
      </c>
      <c r="L68" s="1" t="str">
        <f>IF(C68="","Yes","No")</f>
        <v>No</v>
      </c>
      <c r="M68" s="1">
        <f>IF(C68="", "", C68 - B68)</f>
        <v>9</v>
      </c>
      <c r="N68" s="3">
        <f>DATE(YEAR(B68),MONTH(B68),1)</f>
        <v>45597</v>
      </c>
      <c r="O68" s="2">
        <f>DATE(YEAR(B68),MONTH(B68),1)</f>
        <v>45597</v>
      </c>
    </row>
    <row r="69" spans="1:15" x14ac:dyDescent="0.2">
      <c r="A69" s="1" t="s">
        <v>255</v>
      </c>
      <c r="B69" s="3">
        <v>45699</v>
      </c>
      <c r="C69" s="3">
        <v>45717</v>
      </c>
      <c r="D69" s="1" t="s">
        <v>27</v>
      </c>
      <c r="E69" s="1" t="str">
        <f>UPPER(TRIM(D69))</f>
        <v>SERVICE DELAY</v>
      </c>
      <c r="G69" s="1" t="s">
        <v>47</v>
      </c>
      <c r="H69" s="1" t="str">
        <f>IF(OR(TRIM(G69)="Yes",TRIM(G69)="YES",TRIM(G69)="Y",TRIM(G69)="yes"),"Yes","No")</f>
        <v>Yes</v>
      </c>
      <c r="J69" s="1" t="str">
        <f>IF(OR(TRIM(I69)="Yes",TRIM(I69)="YES",TRIM(I69)="Y",TRIM(I69)="yes"),"Yes","No")</f>
        <v>No</v>
      </c>
      <c r="K69" s="1" t="s">
        <v>29</v>
      </c>
      <c r="L69" s="1" t="str">
        <f>IF(C69="","Yes","No")</f>
        <v>No</v>
      </c>
      <c r="M69" s="1">
        <f>IF(C69="", "", C69 - B69)</f>
        <v>18</v>
      </c>
      <c r="N69" s="3">
        <f>DATE(YEAR(B69),MONTH(B69),1)</f>
        <v>45689</v>
      </c>
      <c r="O69" s="2">
        <f>DATE(YEAR(B69),MONTH(B69),1)</f>
        <v>45689</v>
      </c>
    </row>
    <row r="70" spans="1:15" x14ac:dyDescent="0.2">
      <c r="A70" s="1" t="s">
        <v>66</v>
      </c>
      <c r="B70" s="3">
        <v>45671</v>
      </c>
      <c r="C70" s="3">
        <v>45683</v>
      </c>
      <c r="D70" s="1" t="s">
        <v>24</v>
      </c>
      <c r="E70" s="1" t="str">
        <f>UPPER(TRIM(D70))</f>
        <v>BILLING ISSUE</v>
      </c>
      <c r="F70" s="1" t="s">
        <v>6</v>
      </c>
      <c r="G70" s="1" t="s">
        <v>0</v>
      </c>
      <c r="H70" s="1" t="str">
        <f>IF(OR(TRIM(G70)="Yes",TRIM(G70)="YES",TRIM(G70)="Y",TRIM(G70)="yes"),"Yes","No")</f>
        <v>Yes</v>
      </c>
      <c r="I70" s="1" t="s">
        <v>9</v>
      </c>
      <c r="J70" s="1" t="str">
        <f>IF(OR(TRIM(I70)="Yes",TRIM(I70)="YES",TRIM(I70)="Y",TRIM(I70)="yes"),"Yes","No")</f>
        <v>No</v>
      </c>
      <c r="L70" s="1" t="str">
        <f>IF(C70="","Yes","No")</f>
        <v>No</v>
      </c>
      <c r="M70" s="1">
        <f>IF(C70="", "", C70 - B70)</f>
        <v>12</v>
      </c>
      <c r="N70" s="3">
        <f>DATE(YEAR(B70),MONTH(B70),1)</f>
        <v>45658</v>
      </c>
      <c r="O70" s="2">
        <f>DATE(YEAR(B70),MONTH(B70),1)</f>
        <v>45658</v>
      </c>
    </row>
    <row r="71" spans="1:15" x14ac:dyDescent="0.2">
      <c r="A71" s="1" t="s">
        <v>214</v>
      </c>
      <c r="B71" s="3">
        <v>45762</v>
      </c>
      <c r="C71" s="3">
        <v>45771</v>
      </c>
      <c r="D71" s="1" t="s">
        <v>10</v>
      </c>
      <c r="E71" s="1" t="str">
        <f>UPPER(TRIM(D71))</f>
        <v>POLICY UPDATE</v>
      </c>
      <c r="G71" s="1" t="s">
        <v>16</v>
      </c>
      <c r="H71" s="1" t="str">
        <f>IF(OR(TRIM(G71)="Yes",TRIM(G71)="YES",TRIM(G71)="Y",TRIM(G71)="yes"),"Yes","No")</f>
        <v>No</v>
      </c>
      <c r="I71" s="1" t="s">
        <v>0</v>
      </c>
      <c r="J71" s="1" t="str">
        <f>IF(OR(TRIM(I71)="Yes",TRIM(I71)="YES",TRIM(I71)="Y",TRIM(I71)="yes"),"Yes","No")</f>
        <v>Yes</v>
      </c>
      <c r="K71" s="1" t="s">
        <v>5</v>
      </c>
      <c r="L71" s="1" t="str">
        <f>IF(C71="","Yes","No")</f>
        <v>No</v>
      </c>
      <c r="M71" s="1">
        <f>IF(C71="", "", C71 - B71)</f>
        <v>9</v>
      </c>
      <c r="N71" s="3">
        <f>DATE(YEAR(B71),MONTH(B71),1)</f>
        <v>45748</v>
      </c>
      <c r="O71" s="2">
        <f>DATE(YEAR(B71),MONTH(B71),1)</f>
        <v>45748</v>
      </c>
    </row>
    <row r="72" spans="1:15" x14ac:dyDescent="0.2">
      <c r="A72" s="1" t="s">
        <v>98</v>
      </c>
      <c r="B72" s="3">
        <v>45566</v>
      </c>
      <c r="C72" s="3">
        <v>45568</v>
      </c>
      <c r="D72" s="1" t="s">
        <v>44</v>
      </c>
      <c r="E72" s="1" t="str">
        <f>UPPER(TRIM(D72))</f>
        <v>COMMUNICATION DELAY</v>
      </c>
      <c r="F72" s="1" t="s">
        <v>21</v>
      </c>
      <c r="G72" s="1" t="s">
        <v>12</v>
      </c>
      <c r="H72" s="1" t="str">
        <f>IF(OR(TRIM(G72)="Yes",TRIM(G72)="YES",TRIM(G72)="Y",TRIM(G72)="yes"),"Yes","No")</f>
        <v>No</v>
      </c>
      <c r="I72" s="1" t="s">
        <v>16</v>
      </c>
      <c r="J72" s="1" t="str">
        <f>IF(OR(TRIM(I72)="Yes",TRIM(I72)="YES",TRIM(I72)="Y",TRIM(I72)="yes"),"Yes","No")</f>
        <v>No</v>
      </c>
      <c r="K72" s="1" t="s">
        <v>5</v>
      </c>
      <c r="L72" s="1" t="str">
        <f>IF(C72="","Yes","No")</f>
        <v>No</v>
      </c>
      <c r="M72" s="1">
        <f>IF(C72="", "", C72 - B72)</f>
        <v>2</v>
      </c>
      <c r="N72" s="3">
        <f>DATE(YEAR(B72),MONTH(B72),1)</f>
        <v>45566</v>
      </c>
      <c r="O72" s="2">
        <f>DATE(YEAR(B72),MONTH(B72),1)</f>
        <v>45566</v>
      </c>
    </row>
    <row r="73" spans="1:15" x14ac:dyDescent="0.2">
      <c r="A73" s="1" t="s">
        <v>72</v>
      </c>
      <c r="B73" s="3">
        <v>45744</v>
      </c>
      <c r="C73" s="3">
        <v>45761</v>
      </c>
      <c r="D73" s="1" t="s">
        <v>24</v>
      </c>
      <c r="E73" s="1" t="str">
        <f>UPPER(TRIM(D73))</f>
        <v>BILLING ISSUE</v>
      </c>
      <c r="G73" s="1" t="s">
        <v>1</v>
      </c>
      <c r="H73" s="1" t="str">
        <f>IF(OR(TRIM(G73)="Yes",TRIM(G73)="YES",TRIM(G73)="Y",TRIM(G73)="yes"),"Yes","No")</f>
        <v>Yes</v>
      </c>
      <c r="J73" s="1" t="str">
        <f>IF(OR(TRIM(I73)="Yes",TRIM(I73)="YES",TRIM(I73)="Y",TRIM(I73)="yes"),"Yes","No")</f>
        <v>No</v>
      </c>
      <c r="L73" s="1" t="str">
        <f>IF(C73="","Yes","No")</f>
        <v>No</v>
      </c>
      <c r="M73" s="1">
        <f>IF(C73="", "", C73 - B73)</f>
        <v>17</v>
      </c>
      <c r="N73" s="3">
        <f>DATE(YEAR(B73),MONTH(B73),1)</f>
        <v>45717</v>
      </c>
      <c r="O73" s="2">
        <f>DATE(YEAR(B73),MONTH(B73),1)</f>
        <v>45717</v>
      </c>
    </row>
    <row r="74" spans="1:15" x14ac:dyDescent="0.2">
      <c r="A74" s="1" t="s">
        <v>87</v>
      </c>
      <c r="B74" s="3">
        <v>45594</v>
      </c>
      <c r="C74" s="3">
        <v>45604</v>
      </c>
      <c r="D74" s="1" t="s">
        <v>3</v>
      </c>
      <c r="E74" s="1" t="str">
        <f>UPPER(TRIM(D74))</f>
        <v>COMMUNICATION DELAY</v>
      </c>
      <c r="G74" s="1" t="s">
        <v>9</v>
      </c>
      <c r="H74" s="1" t="str">
        <f>IF(OR(TRIM(G74)="Yes",TRIM(G74)="YES",TRIM(G74)="Y",TRIM(G74)="yes"),"Yes","No")</f>
        <v>No</v>
      </c>
      <c r="I74" s="1" t="s">
        <v>0</v>
      </c>
      <c r="J74" s="1" t="str">
        <f>IF(OR(TRIM(I74)="Yes",TRIM(I74)="YES",TRIM(I74)="Y",TRIM(I74)="yes"),"Yes","No")</f>
        <v>Yes</v>
      </c>
      <c r="K74" s="1" t="s">
        <v>5</v>
      </c>
      <c r="L74" s="1" t="str">
        <f>IF(C74="","Yes","No")</f>
        <v>No</v>
      </c>
      <c r="M74" s="1">
        <f>IF(C74="", "", C74 - B74)</f>
        <v>10</v>
      </c>
      <c r="N74" s="3">
        <f>DATE(YEAR(B74),MONTH(B74),1)</f>
        <v>45566</v>
      </c>
      <c r="O74" s="2">
        <f>DATE(YEAR(B74),MONTH(B74),1)</f>
        <v>45566</v>
      </c>
    </row>
    <row r="75" spans="1:15" x14ac:dyDescent="0.2">
      <c r="A75" s="1" t="s">
        <v>254</v>
      </c>
      <c r="B75" s="3">
        <v>45633</v>
      </c>
      <c r="C75" s="3">
        <v>45644</v>
      </c>
      <c r="D75" s="1" t="s">
        <v>10</v>
      </c>
      <c r="E75" s="1" t="str">
        <f>UPPER(TRIM(D75))</f>
        <v>POLICY UPDATE</v>
      </c>
      <c r="F75" s="1" t="s">
        <v>2</v>
      </c>
      <c r="G75" s="1" t="s">
        <v>47</v>
      </c>
      <c r="H75" s="1" t="str">
        <f>IF(OR(TRIM(G75)="Yes",TRIM(G75)="YES",TRIM(G75)="Y",TRIM(G75)="yes"),"Yes","No")</f>
        <v>Yes</v>
      </c>
      <c r="I75" s="1" t="s">
        <v>1</v>
      </c>
      <c r="J75" s="1" t="str">
        <f>IF(OR(TRIM(I75)="Yes",TRIM(I75)="YES",TRIM(I75)="Y",TRIM(I75)="yes"),"Yes","No")</f>
        <v>Yes</v>
      </c>
      <c r="K75" s="1" t="s">
        <v>15</v>
      </c>
      <c r="L75" s="1" t="str">
        <f>IF(C75="","Yes","No")</f>
        <v>No</v>
      </c>
      <c r="M75" s="1">
        <f>IF(C75="", "", C75 - B75)</f>
        <v>11</v>
      </c>
      <c r="N75" s="3">
        <f>DATE(YEAR(B75),MONTH(B75),1)</f>
        <v>45627</v>
      </c>
      <c r="O75" s="2">
        <f>DATE(YEAR(B75),MONTH(B75),1)</f>
        <v>45627</v>
      </c>
    </row>
    <row r="76" spans="1:15" x14ac:dyDescent="0.2">
      <c r="A76" s="1" t="s">
        <v>168</v>
      </c>
      <c r="B76" s="3">
        <v>45638</v>
      </c>
      <c r="C76" s="3">
        <v>45650</v>
      </c>
      <c r="D76" s="1" t="s">
        <v>44</v>
      </c>
      <c r="E76" s="1" t="str">
        <f>UPPER(TRIM(D76))</f>
        <v>COMMUNICATION DELAY</v>
      </c>
      <c r="F76" s="1" t="s">
        <v>18</v>
      </c>
      <c r="G76" s="1" t="s">
        <v>0</v>
      </c>
      <c r="H76" s="1" t="str">
        <f>IF(OR(TRIM(G76)="Yes",TRIM(G76)="YES",TRIM(G76)="Y",TRIM(G76)="yes"),"Yes","No")</f>
        <v>Yes</v>
      </c>
      <c r="I76" s="1" t="s">
        <v>9</v>
      </c>
      <c r="J76" s="1" t="str">
        <f>IF(OR(TRIM(I76)="Yes",TRIM(I76)="YES",TRIM(I76)="Y",TRIM(I76)="yes"),"Yes","No")</f>
        <v>No</v>
      </c>
      <c r="K76" s="1" t="s">
        <v>5</v>
      </c>
      <c r="L76" s="1" t="str">
        <f>IF(C76="","Yes","No")</f>
        <v>No</v>
      </c>
      <c r="M76" s="1">
        <f>IF(C76="", "", C76 - B76)</f>
        <v>12</v>
      </c>
      <c r="N76" s="3">
        <f>DATE(YEAR(B76),MONTH(B76),1)</f>
        <v>45627</v>
      </c>
      <c r="O76" s="2">
        <f>DATE(YEAR(B76),MONTH(B76),1)</f>
        <v>45627</v>
      </c>
    </row>
    <row r="77" spans="1:15" x14ac:dyDescent="0.2">
      <c r="A77" s="1" t="s">
        <v>162</v>
      </c>
      <c r="B77" s="3">
        <v>45693</v>
      </c>
      <c r="C77" s="3">
        <v>45700</v>
      </c>
      <c r="D77" s="1" t="s">
        <v>7</v>
      </c>
      <c r="E77" s="1" t="str">
        <f>UPPER(TRIM(D77))</f>
        <v>BILLING ISSUE</v>
      </c>
      <c r="G77" s="1" t="s">
        <v>1</v>
      </c>
      <c r="H77" s="1" t="str">
        <f>IF(OR(TRIM(G77)="Yes",TRIM(G77)="YES",TRIM(G77)="Y",TRIM(G77)="yes"),"Yes","No")</f>
        <v>Yes</v>
      </c>
      <c r="J77" s="1" t="str">
        <f>IF(OR(TRIM(I77)="Yes",TRIM(I77)="YES",TRIM(I77)="Y",TRIM(I77)="yes"),"Yes","No")</f>
        <v>No</v>
      </c>
      <c r="L77" s="1" t="str">
        <f>IF(C77="","Yes","No")</f>
        <v>No</v>
      </c>
      <c r="M77" s="1">
        <f>IF(C77="", "", C77 - B77)</f>
        <v>7</v>
      </c>
      <c r="N77" s="3">
        <f>DATE(YEAR(B77),MONTH(B77),1)</f>
        <v>45689</v>
      </c>
      <c r="O77" s="2">
        <f>DATE(YEAR(B77),MONTH(B77),1)</f>
        <v>45689</v>
      </c>
    </row>
    <row r="78" spans="1:15" x14ac:dyDescent="0.2">
      <c r="A78" s="1" t="s">
        <v>55</v>
      </c>
      <c r="B78" s="3">
        <v>45764</v>
      </c>
      <c r="C78" s="3">
        <v>45777</v>
      </c>
      <c r="D78" s="1" t="s">
        <v>7</v>
      </c>
      <c r="E78" s="1" t="str">
        <f>UPPER(TRIM(D78))</f>
        <v>BILLING ISSUE</v>
      </c>
      <c r="F78" s="1" t="s">
        <v>18</v>
      </c>
      <c r="G78" s="1" t="s">
        <v>12</v>
      </c>
      <c r="H78" s="1" t="str">
        <f>IF(OR(TRIM(G78)="Yes",TRIM(G78)="YES",TRIM(G78)="Y",TRIM(G78)="yes"),"Yes","No")</f>
        <v>No</v>
      </c>
      <c r="I78" s="1" t="s">
        <v>16</v>
      </c>
      <c r="J78" s="1" t="str">
        <f>IF(OR(TRIM(I78)="Yes",TRIM(I78)="YES",TRIM(I78)="Y",TRIM(I78)="yes"),"Yes","No")</f>
        <v>No</v>
      </c>
      <c r="K78" s="1" t="s">
        <v>15</v>
      </c>
      <c r="L78" s="1" t="str">
        <f>IF(C78="","Yes","No")</f>
        <v>No</v>
      </c>
      <c r="M78" s="1">
        <f>IF(C78="", "", C78 - B78)</f>
        <v>13</v>
      </c>
      <c r="N78" s="3">
        <f>DATE(YEAR(B78),MONTH(B78),1)</f>
        <v>45748</v>
      </c>
      <c r="O78" s="2">
        <f>DATE(YEAR(B78),MONTH(B78),1)</f>
        <v>45748</v>
      </c>
    </row>
    <row r="79" spans="1:15" x14ac:dyDescent="0.2">
      <c r="A79" s="1" t="s">
        <v>84</v>
      </c>
      <c r="B79" s="3">
        <v>45731</v>
      </c>
      <c r="C79" s="3">
        <v>45749</v>
      </c>
      <c r="D79" s="1" t="s">
        <v>3</v>
      </c>
      <c r="E79" s="1" t="str">
        <f>UPPER(TRIM(D79))</f>
        <v>COMMUNICATION DELAY</v>
      </c>
      <c r="G79" s="1" t="s">
        <v>1</v>
      </c>
      <c r="H79" s="1" t="str">
        <f>IF(OR(TRIM(G79)="Yes",TRIM(G79)="YES",TRIM(G79)="Y",TRIM(G79)="yes"),"Yes","No")</f>
        <v>Yes</v>
      </c>
      <c r="J79" s="1" t="str">
        <f>IF(OR(TRIM(I79)="Yes",TRIM(I79)="YES",TRIM(I79)="Y",TRIM(I79)="yes"),"Yes","No")</f>
        <v>No</v>
      </c>
      <c r="K79" s="1" t="s">
        <v>5</v>
      </c>
      <c r="L79" s="1" t="str">
        <f>IF(C79="","Yes","No")</f>
        <v>No</v>
      </c>
      <c r="M79" s="1">
        <f>IF(C79="", "", C79 - B79)</f>
        <v>18</v>
      </c>
      <c r="N79" s="3">
        <f>DATE(YEAR(B79),MONTH(B79),1)</f>
        <v>45717</v>
      </c>
      <c r="O79" s="2">
        <f>DATE(YEAR(B79),MONTH(B79),1)</f>
        <v>45717</v>
      </c>
    </row>
    <row r="80" spans="1:15" x14ac:dyDescent="0.2">
      <c r="A80" s="1" t="s">
        <v>13</v>
      </c>
      <c r="B80" s="3">
        <v>45764</v>
      </c>
      <c r="C80" s="3">
        <v>45769</v>
      </c>
      <c r="D80" s="1" t="s">
        <v>35</v>
      </c>
      <c r="E80" s="1" t="str">
        <f>UPPER(TRIM(D80))</f>
        <v>DOCUMENTATION ERROR</v>
      </c>
      <c r="F80" s="1" t="s">
        <v>18</v>
      </c>
      <c r="H80" s="1" t="str">
        <f>IF(OR(TRIM(G80)="Yes",TRIM(G80)="YES",TRIM(G80)="Y",TRIM(G80)="yes"),"Yes","No")</f>
        <v>No</v>
      </c>
      <c r="I80" s="1" t="s">
        <v>1</v>
      </c>
      <c r="J80" s="1" t="str">
        <f>IF(OR(TRIM(I80)="Yes",TRIM(I80)="YES",TRIM(I80)="Y",TRIM(I80)="yes"),"Yes","No")</f>
        <v>Yes</v>
      </c>
      <c r="K80" s="1" t="s">
        <v>15</v>
      </c>
      <c r="L80" s="1" t="str">
        <f>IF(C80="","Yes","No")</f>
        <v>No</v>
      </c>
      <c r="M80" s="1">
        <f>IF(C80="", "", C80 - B80)</f>
        <v>5</v>
      </c>
      <c r="N80" s="3">
        <f>DATE(YEAR(B80),MONTH(B80),1)</f>
        <v>45748</v>
      </c>
      <c r="O80" s="2">
        <f>DATE(YEAR(B80),MONTH(B80),1)</f>
        <v>45748</v>
      </c>
    </row>
    <row r="81" spans="1:15" x14ac:dyDescent="0.2">
      <c r="A81" s="1" t="s">
        <v>134</v>
      </c>
      <c r="B81" s="3">
        <v>45635</v>
      </c>
      <c r="C81" s="3">
        <v>45648</v>
      </c>
      <c r="D81" s="1" t="s">
        <v>3</v>
      </c>
      <c r="E81" s="1" t="str">
        <f>UPPER(TRIM(D81))</f>
        <v>COMMUNICATION DELAY</v>
      </c>
      <c r="F81" s="1" t="s">
        <v>21</v>
      </c>
      <c r="G81" s="1" t="s">
        <v>1</v>
      </c>
      <c r="H81" s="1" t="str">
        <f>IF(OR(TRIM(G81)="Yes",TRIM(G81)="YES",TRIM(G81)="Y",TRIM(G81)="yes"),"Yes","No")</f>
        <v>Yes</v>
      </c>
      <c r="J81" s="1" t="str">
        <f>IF(OR(TRIM(I81)="Yes",TRIM(I81)="YES",TRIM(I81)="Y",TRIM(I81)="yes"),"Yes","No")</f>
        <v>No</v>
      </c>
      <c r="L81" s="1" t="str">
        <f>IF(C81="","Yes","No")</f>
        <v>No</v>
      </c>
      <c r="M81" s="1">
        <f>IF(C81="", "", C81 - B81)</f>
        <v>13</v>
      </c>
      <c r="N81" s="3">
        <f>DATE(YEAR(B81),MONTH(B81),1)</f>
        <v>45627</v>
      </c>
      <c r="O81" s="2">
        <f>DATE(YEAR(B81),MONTH(B81),1)</f>
        <v>45627</v>
      </c>
    </row>
    <row r="82" spans="1:15" x14ac:dyDescent="0.2">
      <c r="A82" s="1" t="s">
        <v>241</v>
      </c>
      <c r="B82" s="3">
        <v>45697</v>
      </c>
      <c r="C82" s="3">
        <v>45706</v>
      </c>
      <c r="D82" s="1" t="s">
        <v>7</v>
      </c>
      <c r="E82" s="1" t="str">
        <f>UPPER(TRIM(D82))</f>
        <v>BILLING ISSUE</v>
      </c>
      <c r="G82" s="1" t="s">
        <v>0</v>
      </c>
      <c r="H82" s="1" t="str">
        <f>IF(OR(TRIM(G82)="Yes",TRIM(G82)="YES",TRIM(G82)="Y",TRIM(G82)="yes"),"Yes","No")</f>
        <v>Yes</v>
      </c>
      <c r="I82" s="1" t="s">
        <v>16</v>
      </c>
      <c r="J82" s="1" t="str">
        <f>IF(OR(TRIM(I82)="Yes",TRIM(I82)="YES",TRIM(I82)="Y",TRIM(I82)="yes"),"Yes","No")</f>
        <v>No</v>
      </c>
      <c r="L82" s="1" t="str">
        <f>IF(C82="","Yes","No")</f>
        <v>No</v>
      </c>
      <c r="M82" s="1">
        <f>IF(C82="", "", C82 - B82)</f>
        <v>9</v>
      </c>
      <c r="N82" s="3">
        <f>DATE(YEAR(B82),MONTH(B82),1)</f>
        <v>45689</v>
      </c>
      <c r="O82" s="2">
        <f>DATE(YEAR(B82),MONTH(B82),1)</f>
        <v>45689</v>
      </c>
    </row>
    <row r="83" spans="1:15" x14ac:dyDescent="0.2">
      <c r="A83" s="1" t="s">
        <v>97</v>
      </c>
      <c r="B83" s="3">
        <v>45602</v>
      </c>
      <c r="C83" s="3">
        <v>45617</v>
      </c>
      <c r="D83" s="1" t="s">
        <v>7</v>
      </c>
      <c r="E83" s="1" t="str">
        <f>UPPER(TRIM(D83))</f>
        <v>BILLING ISSUE</v>
      </c>
      <c r="F83" s="1" t="s">
        <v>2</v>
      </c>
      <c r="H83" s="1" t="str">
        <f>IF(OR(TRIM(G83)="Yes",TRIM(G83)="YES",TRIM(G83)="Y",TRIM(G83)="yes"),"Yes","No")</f>
        <v>No</v>
      </c>
      <c r="I83" s="1" t="s">
        <v>16</v>
      </c>
      <c r="J83" s="1" t="str">
        <f>IF(OR(TRIM(I83)="Yes",TRIM(I83)="YES",TRIM(I83)="Y",TRIM(I83)="yes"),"Yes","No")</f>
        <v>No</v>
      </c>
      <c r="K83" s="1" t="s">
        <v>5</v>
      </c>
      <c r="L83" s="1" t="str">
        <f>IF(C83="","Yes","No")</f>
        <v>No</v>
      </c>
      <c r="M83" s="1">
        <f>IF(C83="", "", C83 - B83)</f>
        <v>15</v>
      </c>
      <c r="N83" s="3">
        <f>DATE(YEAR(B83),MONTH(B83),1)</f>
        <v>45597</v>
      </c>
      <c r="O83" s="2">
        <f>DATE(YEAR(B83),MONTH(B83),1)</f>
        <v>45597</v>
      </c>
    </row>
    <row r="84" spans="1:15" x14ac:dyDescent="0.2">
      <c r="A84" s="1" t="s">
        <v>253</v>
      </c>
      <c r="B84" s="3">
        <v>45647</v>
      </c>
      <c r="C84" s="3">
        <v>45661</v>
      </c>
      <c r="D84" s="1" t="s">
        <v>19</v>
      </c>
      <c r="E84" s="1" t="str">
        <f>UPPER(TRIM(D84))</f>
        <v>DOC ERROR</v>
      </c>
      <c r="F84" s="1" t="s">
        <v>21</v>
      </c>
      <c r="H84" s="1" t="str">
        <f>IF(OR(TRIM(G84)="Yes",TRIM(G84)="YES",TRIM(G84)="Y",TRIM(G84)="yes"),"Yes","No")</f>
        <v>No</v>
      </c>
      <c r="J84" s="1" t="str">
        <f>IF(OR(TRIM(I84)="Yes",TRIM(I84)="YES",TRIM(I84)="Y",TRIM(I84)="yes"),"Yes","No")</f>
        <v>No</v>
      </c>
      <c r="K84" s="1" t="s">
        <v>29</v>
      </c>
      <c r="L84" s="1" t="str">
        <f>IF(C84="","Yes","No")</f>
        <v>No</v>
      </c>
      <c r="M84" s="1">
        <f>IF(C84="", "", C84 - B84)</f>
        <v>14</v>
      </c>
      <c r="N84" s="3">
        <f>DATE(YEAR(B84),MONTH(B84),1)</f>
        <v>45627</v>
      </c>
      <c r="O84" s="2">
        <f>DATE(YEAR(B84),MONTH(B84),1)</f>
        <v>45627</v>
      </c>
    </row>
    <row r="85" spans="1:15" x14ac:dyDescent="0.2">
      <c r="A85" s="1" t="s">
        <v>54</v>
      </c>
      <c r="B85" s="3">
        <v>45698</v>
      </c>
      <c r="C85" s="3">
        <v>45717</v>
      </c>
      <c r="D85" s="1" t="s">
        <v>35</v>
      </c>
      <c r="E85" s="1" t="str">
        <f>UPPER(TRIM(D85))</f>
        <v>DOCUMENTATION ERROR</v>
      </c>
      <c r="F85" s="1" t="s">
        <v>6</v>
      </c>
      <c r="G85" s="1" t="s">
        <v>12</v>
      </c>
      <c r="H85" s="1" t="str">
        <f>IF(OR(TRIM(G85)="Yes",TRIM(G85)="YES",TRIM(G85)="Y",TRIM(G85)="yes"),"Yes","No")</f>
        <v>No</v>
      </c>
      <c r="I85" s="1" t="s">
        <v>9</v>
      </c>
      <c r="J85" s="1" t="str">
        <f>IF(OR(TRIM(I85)="Yes",TRIM(I85)="YES",TRIM(I85)="Y",TRIM(I85)="yes"),"Yes","No")</f>
        <v>No</v>
      </c>
      <c r="L85" s="1" t="str">
        <f>IF(C85="","Yes","No")</f>
        <v>No</v>
      </c>
      <c r="M85" s="1">
        <f>IF(C85="", "", C85 - B85)</f>
        <v>19</v>
      </c>
      <c r="N85" s="3">
        <f>DATE(YEAR(B85),MONTH(B85),1)</f>
        <v>45689</v>
      </c>
      <c r="O85" s="2">
        <f>DATE(YEAR(B85),MONTH(B85),1)</f>
        <v>45689</v>
      </c>
    </row>
    <row r="86" spans="1:15" x14ac:dyDescent="0.2">
      <c r="A86" s="1" t="s">
        <v>81</v>
      </c>
      <c r="B86" s="3">
        <v>45751</v>
      </c>
      <c r="C86" s="3">
        <v>45763</v>
      </c>
      <c r="D86" s="1" t="s">
        <v>7</v>
      </c>
      <c r="E86" s="1" t="str">
        <f>UPPER(TRIM(D86))</f>
        <v>BILLING ISSUE</v>
      </c>
      <c r="F86" s="1" t="s">
        <v>6</v>
      </c>
      <c r="G86" s="1" t="s">
        <v>47</v>
      </c>
      <c r="H86" s="1" t="str">
        <f>IF(OR(TRIM(G86)="Yes",TRIM(G86)="YES",TRIM(G86)="Y",TRIM(G86)="yes"),"Yes","No")</f>
        <v>Yes</v>
      </c>
      <c r="I86" s="1" t="s">
        <v>1</v>
      </c>
      <c r="J86" s="1" t="str">
        <f>IF(OR(TRIM(I86)="Yes",TRIM(I86)="YES",TRIM(I86)="Y",TRIM(I86)="yes"),"Yes","No")</f>
        <v>Yes</v>
      </c>
      <c r="K86" s="1" t="s">
        <v>5</v>
      </c>
      <c r="L86" s="1" t="str">
        <f>IF(C86="","Yes","No")</f>
        <v>No</v>
      </c>
      <c r="M86" s="1">
        <f>IF(C86="", "", C86 - B86)</f>
        <v>12</v>
      </c>
      <c r="N86" s="3">
        <f>DATE(YEAR(B86),MONTH(B86),1)</f>
        <v>45748</v>
      </c>
      <c r="O86" s="2">
        <f>DATE(YEAR(B86),MONTH(B86),1)</f>
        <v>45748</v>
      </c>
    </row>
    <row r="87" spans="1:15" x14ac:dyDescent="0.2">
      <c r="A87" s="1" t="s">
        <v>252</v>
      </c>
      <c r="B87" s="3">
        <v>45740</v>
      </c>
      <c r="C87" s="3">
        <v>45753</v>
      </c>
      <c r="D87" s="1" t="s">
        <v>10</v>
      </c>
      <c r="E87" s="1" t="str">
        <f>UPPER(TRIM(D87))</f>
        <v>POLICY UPDATE</v>
      </c>
      <c r="F87" s="1" t="s">
        <v>2</v>
      </c>
      <c r="G87" s="1" t="s">
        <v>12</v>
      </c>
      <c r="H87" s="1" t="str">
        <f>IF(OR(TRIM(G87)="Yes",TRIM(G87)="YES",TRIM(G87)="Y",TRIM(G87)="yes"),"Yes","No")</f>
        <v>No</v>
      </c>
      <c r="J87" s="1" t="str">
        <f>IF(OR(TRIM(I87)="Yes",TRIM(I87)="YES",TRIM(I87)="Y",TRIM(I87)="yes"),"Yes","No")</f>
        <v>No</v>
      </c>
      <c r="L87" s="1" t="str">
        <f>IF(C87="","Yes","No")</f>
        <v>No</v>
      </c>
      <c r="M87" s="1">
        <f>IF(C87="", "", C87 - B87)</f>
        <v>13</v>
      </c>
      <c r="N87" s="3">
        <f>DATE(YEAR(B87),MONTH(B87),1)</f>
        <v>45717</v>
      </c>
      <c r="O87" s="2">
        <f>DATE(YEAR(B87),MONTH(B87),1)</f>
        <v>45717</v>
      </c>
    </row>
    <row r="88" spans="1:15" x14ac:dyDescent="0.2">
      <c r="A88" s="1" t="s">
        <v>214</v>
      </c>
      <c r="B88" s="3">
        <v>45598</v>
      </c>
      <c r="D88" s="1" t="s">
        <v>22</v>
      </c>
      <c r="E88" s="1" t="str">
        <f>UPPER(TRIM(D88))</f>
        <v>BILLING ISSUE</v>
      </c>
      <c r="F88" s="1" t="s">
        <v>18</v>
      </c>
      <c r="G88" s="1" t="s">
        <v>1</v>
      </c>
      <c r="H88" s="1" t="str">
        <f>IF(OR(TRIM(G88)="Yes",TRIM(G88)="YES",TRIM(G88)="Y",TRIM(G88)="yes"),"Yes","No")</f>
        <v>Yes</v>
      </c>
      <c r="I88" s="1" t="s">
        <v>0</v>
      </c>
      <c r="J88" s="1" t="str">
        <f>IF(OR(TRIM(I88)="Yes",TRIM(I88)="YES",TRIM(I88)="Y",TRIM(I88)="yes"),"Yes","No")</f>
        <v>Yes</v>
      </c>
      <c r="K88" s="1" t="s">
        <v>5</v>
      </c>
      <c r="L88" s="1" t="str">
        <f>IF(C88="","Yes","No")</f>
        <v>Yes</v>
      </c>
      <c r="M88" s="1" t="str">
        <f>IF(C88="", "", C88 - B88)</f>
        <v/>
      </c>
      <c r="N88" s="3">
        <f>DATE(YEAR(B88),MONTH(B88),1)</f>
        <v>45597</v>
      </c>
      <c r="O88" s="2">
        <f>DATE(YEAR(B88),MONTH(B88),1)</f>
        <v>45597</v>
      </c>
    </row>
    <row r="89" spans="1:15" x14ac:dyDescent="0.2">
      <c r="A89" s="1" t="s">
        <v>251</v>
      </c>
      <c r="B89" s="3">
        <v>45730</v>
      </c>
      <c r="C89" s="3">
        <v>45749</v>
      </c>
      <c r="D89" s="1" t="s">
        <v>19</v>
      </c>
      <c r="E89" s="1" t="str">
        <f>UPPER(TRIM(D89))</f>
        <v>DOC ERROR</v>
      </c>
      <c r="F89" s="1" t="s">
        <v>6</v>
      </c>
      <c r="G89" s="1" t="s">
        <v>47</v>
      </c>
      <c r="H89" s="1" t="str">
        <f>IF(OR(TRIM(G89)="Yes",TRIM(G89)="YES",TRIM(G89)="Y",TRIM(G89)="yes"),"Yes","No")</f>
        <v>Yes</v>
      </c>
      <c r="I89" s="1" t="s">
        <v>16</v>
      </c>
      <c r="J89" s="1" t="str">
        <f>IF(OR(TRIM(I89)="Yes",TRIM(I89)="YES",TRIM(I89)="Y",TRIM(I89)="yes"),"Yes","No")</f>
        <v>No</v>
      </c>
      <c r="K89" s="1" t="s">
        <v>5</v>
      </c>
      <c r="L89" s="1" t="str">
        <f>IF(C89="","Yes","No")</f>
        <v>No</v>
      </c>
      <c r="M89" s="1">
        <f>IF(C89="", "", C89 - B89)</f>
        <v>19</v>
      </c>
      <c r="N89" s="3">
        <f>DATE(YEAR(B89),MONTH(B89),1)</f>
        <v>45717</v>
      </c>
      <c r="O89" s="2">
        <f>DATE(YEAR(B89),MONTH(B89),1)</f>
        <v>45717</v>
      </c>
    </row>
    <row r="90" spans="1:15" x14ac:dyDescent="0.2">
      <c r="A90" s="1" t="s">
        <v>133</v>
      </c>
      <c r="B90" s="3">
        <v>45583</v>
      </c>
      <c r="C90" s="3">
        <v>45600</v>
      </c>
      <c r="D90" s="1" t="s">
        <v>24</v>
      </c>
      <c r="E90" s="1" t="str">
        <f>UPPER(TRIM(D90))</f>
        <v>BILLING ISSUE</v>
      </c>
      <c r="G90" s="1" t="s">
        <v>9</v>
      </c>
      <c r="H90" s="1" t="str">
        <f>IF(OR(TRIM(G90)="Yes",TRIM(G90)="YES",TRIM(G90)="Y",TRIM(G90)="yes"),"Yes","No")</f>
        <v>No</v>
      </c>
      <c r="I90" s="1" t="s">
        <v>16</v>
      </c>
      <c r="J90" s="1" t="str">
        <f>IF(OR(TRIM(I90)="Yes",TRIM(I90)="YES",TRIM(I90)="Y",TRIM(I90)="yes"),"Yes","No")</f>
        <v>No</v>
      </c>
      <c r="K90" s="1" t="s">
        <v>15</v>
      </c>
      <c r="L90" s="1" t="str">
        <f>IF(C90="","Yes","No")</f>
        <v>No</v>
      </c>
      <c r="M90" s="1">
        <f>IF(C90="", "", C90 - B90)</f>
        <v>17</v>
      </c>
      <c r="N90" s="3">
        <f>DATE(YEAR(B90),MONTH(B90),1)</f>
        <v>45566</v>
      </c>
      <c r="O90" s="2">
        <f>DATE(YEAR(B90),MONTH(B90),1)</f>
        <v>45566</v>
      </c>
    </row>
    <row r="91" spans="1:15" x14ac:dyDescent="0.2">
      <c r="A91" s="1" t="s">
        <v>250</v>
      </c>
      <c r="B91" s="3">
        <v>45675</v>
      </c>
      <c r="C91" s="3">
        <v>45686</v>
      </c>
      <c r="D91" s="1" t="s">
        <v>24</v>
      </c>
      <c r="E91" s="1" t="str">
        <f>UPPER(TRIM(D91))</f>
        <v>BILLING ISSUE</v>
      </c>
      <c r="F91" s="1" t="s">
        <v>18</v>
      </c>
      <c r="H91" s="1" t="str">
        <f>IF(OR(TRIM(G91)="Yes",TRIM(G91)="YES",TRIM(G91)="Y",TRIM(G91)="yes"),"Yes","No")</f>
        <v>No</v>
      </c>
      <c r="J91" s="1" t="str">
        <f>IF(OR(TRIM(I91)="Yes",TRIM(I91)="YES",TRIM(I91)="Y",TRIM(I91)="yes"),"Yes","No")</f>
        <v>No</v>
      </c>
      <c r="L91" s="1" t="str">
        <f>IF(C91="","Yes","No")</f>
        <v>No</v>
      </c>
      <c r="M91" s="1">
        <f>IF(C91="", "", C91 - B91)</f>
        <v>11</v>
      </c>
      <c r="N91" s="3">
        <f>DATE(YEAR(B91),MONTH(B91),1)</f>
        <v>45658</v>
      </c>
      <c r="O91" s="2">
        <f>DATE(YEAR(B91),MONTH(B91),1)</f>
        <v>45658</v>
      </c>
    </row>
    <row r="92" spans="1:15" x14ac:dyDescent="0.2">
      <c r="A92" s="1" t="s">
        <v>56</v>
      </c>
      <c r="B92" s="3">
        <v>45688</v>
      </c>
      <c r="C92" s="3">
        <v>45704</v>
      </c>
      <c r="D92" s="1" t="s">
        <v>7</v>
      </c>
      <c r="E92" s="1" t="str">
        <f>UPPER(TRIM(D92))</f>
        <v>BILLING ISSUE</v>
      </c>
      <c r="F92" s="1" t="s">
        <v>6</v>
      </c>
      <c r="G92" s="1" t="s">
        <v>16</v>
      </c>
      <c r="H92" s="1" t="str">
        <f>IF(OR(TRIM(G92)="Yes",TRIM(G92)="YES",TRIM(G92)="Y",TRIM(G92)="yes"),"Yes","No")</f>
        <v>No</v>
      </c>
      <c r="I92" s="1" t="s">
        <v>16</v>
      </c>
      <c r="J92" s="1" t="str">
        <f>IF(OR(TRIM(I92)="Yes",TRIM(I92)="YES",TRIM(I92)="Y",TRIM(I92)="yes"),"Yes","No")</f>
        <v>No</v>
      </c>
      <c r="L92" s="1" t="str">
        <f>IF(C92="","Yes","No")</f>
        <v>No</v>
      </c>
      <c r="M92" s="1">
        <f>IF(C92="", "", C92 - B92)</f>
        <v>16</v>
      </c>
      <c r="N92" s="3">
        <f>DATE(YEAR(B92),MONTH(B92),1)</f>
        <v>45658</v>
      </c>
      <c r="O92" s="2">
        <f>DATE(YEAR(B92),MONTH(B92),1)</f>
        <v>45658</v>
      </c>
    </row>
    <row r="93" spans="1:15" x14ac:dyDescent="0.2">
      <c r="A93" s="1" t="s">
        <v>190</v>
      </c>
      <c r="B93" s="3">
        <v>45577</v>
      </c>
      <c r="C93" s="3">
        <v>45579</v>
      </c>
      <c r="D93" s="1" t="s">
        <v>27</v>
      </c>
      <c r="E93" s="1" t="str">
        <f>UPPER(TRIM(D93))</f>
        <v>SERVICE DELAY</v>
      </c>
      <c r="F93" s="1" t="s">
        <v>21</v>
      </c>
      <c r="G93" s="1" t="s">
        <v>1</v>
      </c>
      <c r="H93" s="1" t="str">
        <f>IF(OR(TRIM(G93)="Yes",TRIM(G93)="YES",TRIM(G93)="Y",TRIM(G93)="yes"),"Yes","No")</f>
        <v>Yes</v>
      </c>
      <c r="I93" s="1" t="s">
        <v>9</v>
      </c>
      <c r="J93" s="1" t="str">
        <f>IF(OR(TRIM(I93)="Yes",TRIM(I93)="YES",TRIM(I93)="Y",TRIM(I93)="yes"),"Yes","No")</f>
        <v>No</v>
      </c>
      <c r="L93" s="1" t="str">
        <f>IF(C93="","Yes","No")</f>
        <v>No</v>
      </c>
      <c r="M93" s="1">
        <f>IF(C93="", "", C93 - B93)</f>
        <v>2</v>
      </c>
      <c r="N93" s="3">
        <f>DATE(YEAR(B93),MONTH(B93),1)</f>
        <v>45566</v>
      </c>
      <c r="O93" s="2">
        <f>DATE(YEAR(B93),MONTH(B93),1)</f>
        <v>45566</v>
      </c>
    </row>
    <row r="94" spans="1:15" x14ac:dyDescent="0.2">
      <c r="A94" s="1" t="s">
        <v>76</v>
      </c>
      <c r="B94" s="3">
        <v>45641</v>
      </c>
      <c r="C94" s="3">
        <v>45655</v>
      </c>
      <c r="D94" s="1" t="s">
        <v>35</v>
      </c>
      <c r="E94" s="1" t="str">
        <f>UPPER(TRIM(D94))</f>
        <v>DOCUMENTATION ERROR</v>
      </c>
      <c r="G94" s="1" t="s">
        <v>12</v>
      </c>
      <c r="H94" s="1" t="str">
        <f>IF(OR(TRIM(G94)="Yes",TRIM(G94)="YES",TRIM(G94)="Y",TRIM(G94)="yes"),"Yes","No")</f>
        <v>No</v>
      </c>
      <c r="I94" s="1" t="s">
        <v>9</v>
      </c>
      <c r="J94" s="1" t="str">
        <f>IF(OR(TRIM(I94)="Yes",TRIM(I94)="YES",TRIM(I94)="Y",TRIM(I94)="yes"),"Yes","No")</f>
        <v>No</v>
      </c>
      <c r="L94" s="1" t="str">
        <f>IF(C94="","Yes","No")</f>
        <v>No</v>
      </c>
      <c r="M94" s="1">
        <f>IF(C94="", "", C94 - B94)</f>
        <v>14</v>
      </c>
      <c r="N94" s="3">
        <f>DATE(YEAR(B94),MONTH(B94),1)</f>
        <v>45627</v>
      </c>
      <c r="O94" s="2">
        <f>DATE(YEAR(B94),MONTH(B94),1)</f>
        <v>45627</v>
      </c>
    </row>
    <row r="95" spans="1:15" x14ac:dyDescent="0.2">
      <c r="A95" s="1" t="s">
        <v>249</v>
      </c>
      <c r="B95" s="3">
        <v>45738</v>
      </c>
      <c r="C95" s="3">
        <v>45753</v>
      </c>
      <c r="D95" s="1" t="s">
        <v>35</v>
      </c>
      <c r="E95" s="1" t="str">
        <f>UPPER(TRIM(D95))</f>
        <v>DOCUMENTATION ERROR</v>
      </c>
      <c r="G95" s="1" t="s">
        <v>0</v>
      </c>
      <c r="H95" s="1" t="str">
        <f>IF(OR(TRIM(G95)="Yes",TRIM(G95)="YES",TRIM(G95)="Y",TRIM(G95)="yes"),"Yes","No")</f>
        <v>Yes</v>
      </c>
      <c r="I95" s="1" t="s">
        <v>9</v>
      </c>
      <c r="J95" s="1" t="str">
        <f>IF(OR(TRIM(I95)="Yes",TRIM(I95)="YES",TRIM(I95)="Y",TRIM(I95)="yes"),"Yes","No")</f>
        <v>No</v>
      </c>
      <c r="L95" s="1" t="str">
        <f>IF(C95="","Yes","No")</f>
        <v>No</v>
      </c>
      <c r="M95" s="1">
        <f>IF(C95="", "", C95 - B95)</f>
        <v>15</v>
      </c>
      <c r="N95" s="3">
        <f>DATE(YEAR(B95),MONTH(B95),1)</f>
        <v>45717</v>
      </c>
      <c r="O95" s="2">
        <f>DATE(YEAR(B95),MONTH(B95),1)</f>
        <v>45717</v>
      </c>
    </row>
    <row r="96" spans="1:15" x14ac:dyDescent="0.2">
      <c r="A96" s="1" t="s">
        <v>30</v>
      </c>
      <c r="B96" s="3">
        <v>45675</v>
      </c>
      <c r="C96" s="3">
        <v>45695</v>
      </c>
      <c r="D96" s="1" t="s">
        <v>19</v>
      </c>
      <c r="E96" s="1" t="str">
        <f>UPPER(TRIM(D96))</f>
        <v>DOC ERROR</v>
      </c>
      <c r="F96" s="1" t="s">
        <v>21</v>
      </c>
      <c r="G96" s="1" t="s">
        <v>0</v>
      </c>
      <c r="H96" s="1" t="str">
        <f>IF(OR(TRIM(G96)="Yes",TRIM(G96)="YES",TRIM(G96)="Y",TRIM(G96)="yes"),"Yes","No")</f>
        <v>Yes</v>
      </c>
      <c r="I96" s="1" t="s">
        <v>9</v>
      </c>
      <c r="J96" s="1" t="str">
        <f>IF(OR(TRIM(I96)="Yes",TRIM(I96)="YES",TRIM(I96)="Y",TRIM(I96)="yes"),"Yes","No")</f>
        <v>No</v>
      </c>
      <c r="K96" s="1" t="s">
        <v>29</v>
      </c>
      <c r="L96" s="1" t="str">
        <f>IF(C96="","Yes","No")</f>
        <v>No</v>
      </c>
      <c r="M96" s="1">
        <f>IF(C96="", "", C96 - B96)</f>
        <v>20</v>
      </c>
      <c r="N96" s="3">
        <f>DATE(YEAR(B96),MONTH(B96),1)</f>
        <v>45658</v>
      </c>
      <c r="O96" s="2">
        <f>DATE(YEAR(B96),MONTH(B96),1)</f>
        <v>45658</v>
      </c>
    </row>
    <row r="97" spans="1:15" x14ac:dyDescent="0.2">
      <c r="A97" s="1" t="s">
        <v>13</v>
      </c>
      <c r="B97" s="3">
        <v>45657</v>
      </c>
      <c r="C97" s="3">
        <v>45668</v>
      </c>
      <c r="D97" s="1" t="s">
        <v>33</v>
      </c>
      <c r="E97" s="1" t="str">
        <f>UPPER(TRIM(D97))</f>
        <v>POLICY UPDATE</v>
      </c>
      <c r="F97" s="1" t="s">
        <v>6</v>
      </c>
      <c r="H97" s="1" t="str">
        <f>IF(OR(TRIM(G97)="Yes",TRIM(G97)="YES",TRIM(G97)="Y",TRIM(G97)="yes"),"Yes","No")</f>
        <v>No</v>
      </c>
      <c r="I97" s="1" t="s">
        <v>16</v>
      </c>
      <c r="J97" s="1" t="str">
        <f>IF(OR(TRIM(I97)="Yes",TRIM(I97)="YES",TRIM(I97)="Y",TRIM(I97)="yes"),"Yes","No")</f>
        <v>No</v>
      </c>
      <c r="K97" s="1" t="s">
        <v>15</v>
      </c>
      <c r="L97" s="1" t="str">
        <f>IF(C97="","Yes","No")</f>
        <v>No</v>
      </c>
      <c r="M97" s="1">
        <f>IF(C97="", "", C97 - B97)</f>
        <v>11</v>
      </c>
      <c r="N97" s="3">
        <f>DATE(YEAR(B97),MONTH(B97),1)</f>
        <v>45627</v>
      </c>
      <c r="O97" s="2">
        <f>DATE(YEAR(B97),MONTH(B97),1)</f>
        <v>45627</v>
      </c>
    </row>
    <row r="98" spans="1:15" x14ac:dyDescent="0.2">
      <c r="A98" s="1" t="s">
        <v>248</v>
      </c>
      <c r="B98" s="3">
        <v>45753</v>
      </c>
      <c r="C98" s="3">
        <v>45761</v>
      </c>
      <c r="D98" s="1" t="s">
        <v>24</v>
      </c>
      <c r="E98" s="1" t="str">
        <f>UPPER(TRIM(D98))</f>
        <v>BILLING ISSUE</v>
      </c>
      <c r="F98" s="1" t="s">
        <v>18</v>
      </c>
      <c r="G98" s="1" t="s">
        <v>1</v>
      </c>
      <c r="H98" s="1" t="str">
        <f>IF(OR(TRIM(G98)="Yes",TRIM(G98)="YES",TRIM(G98)="Y",TRIM(G98)="yes"),"Yes","No")</f>
        <v>Yes</v>
      </c>
      <c r="J98" s="1" t="str">
        <f>IF(OR(TRIM(I98)="Yes",TRIM(I98)="YES",TRIM(I98)="Y",TRIM(I98)="yes"),"Yes","No")</f>
        <v>No</v>
      </c>
      <c r="L98" s="1" t="str">
        <f>IF(C98="","Yes","No")</f>
        <v>No</v>
      </c>
      <c r="M98" s="1">
        <f>IF(C98="", "", C98 - B98)</f>
        <v>8</v>
      </c>
      <c r="N98" s="3">
        <f>DATE(YEAR(B98),MONTH(B98),1)</f>
        <v>45748</v>
      </c>
      <c r="O98" s="2">
        <f>DATE(YEAR(B98),MONTH(B98),1)</f>
        <v>45748</v>
      </c>
    </row>
    <row r="99" spans="1:15" x14ac:dyDescent="0.2">
      <c r="A99" s="1" t="s">
        <v>247</v>
      </c>
      <c r="B99" s="3">
        <v>45661</v>
      </c>
      <c r="C99" s="3">
        <v>45676</v>
      </c>
      <c r="D99" s="1" t="s">
        <v>35</v>
      </c>
      <c r="E99" s="1" t="str">
        <f>UPPER(TRIM(D99))</f>
        <v>DOCUMENTATION ERROR</v>
      </c>
      <c r="G99" s="1" t="s">
        <v>47</v>
      </c>
      <c r="H99" s="1" t="str">
        <f>IF(OR(TRIM(G99)="Yes",TRIM(G99)="YES",TRIM(G99)="Y",TRIM(G99)="yes"),"Yes","No")</f>
        <v>Yes</v>
      </c>
      <c r="I99" s="1" t="s">
        <v>16</v>
      </c>
      <c r="J99" s="1" t="str">
        <f>IF(OR(TRIM(I99)="Yes",TRIM(I99)="YES",TRIM(I99)="Y",TRIM(I99)="yes"),"Yes","No")</f>
        <v>No</v>
      </c>
      <c r="L99" s="1" t="str">
        <f>IF(C99="","Yes","No")</f>
        <v>No</v>
      </c>
      <c r="M99" s="1">
        <f>IF(C99="", "", C99 - B99)</f>
        <v>15</v>
      </c>
      <c r="N99" s="3">
        <f>DATE(YEAR(B99),MONTH(B99),1)</f>
        <v>45658</v>
      </c>
      <c r="O99" s="2">
        <f>DATE(YEAR(B99),MONTH(B99),1)</f>
        <v>45658</v>
      </c>
    </row>
    <row r="100" spans="1:15" x14ac:dyDescent="0.2">
      <c r="A100" s="1" t="s">
        <v>183</v>
      </c>
      <c r="B100" s="3">
        <v>45677</v>
      </c>
      <c r="C100" s="3">
        <v>45685</v>
      </c>
      <c r="D100" s="1" t="s">
        <v>3</v>
      </c>
      <c r="E100" s="1" t="str">
        <f>UPPER(TRIM(D100))</f>
        <v>COMMUNICATION DELAY</v>
      </c>
      <c r="F100" s="1" t="s">
        <v>2</v>
      </c>
      <c r="G100" s="1" t="s">
        <v>12</v>
      </c>
      <c r="H100" s="1" t="str">
        <f>IF(OR(TRIM(G100)="Yes",TRIM(G100)="YES",TRIM(G100)="Y",TRIM(G100)="yes"),"Yes","No")</f>
        <v>No</v>
      </c>
      <c r="J100" s="1" t="str">
        <f>IF(OR(TRIM(I100)="Yes",TRIM(I100)="YES",TRIM(I100)="Y",TRIM(I100)="yes"),"Yes","No")</f>
        <v>No</v>
      </c>
      <c r="L100" s="1" t="str">
        <f>IF(C100="","Yes","No")</f>
        <v>No</v>
      </c>
      <c r="M100" s="1">
        <f>IF(C100="", "", C100 - B100)</f>
        <v>8</v>
      </c>
      <c r="N100" s="3">
        <f>DATE(YEAR(B100),MONTH(B100),1)</f>
        <v>45658</v>
      </c>
      <c r="O100" s="2">
        <f>DATE(YEAR(B100),MONTH(B100),1)</f>
        <v>45658</v>
      </c>
    </row>
    <row r="101" spans="1:15" x14ac:dyDescent="0.2">
      <c r="A101" s="1" t="s">
        <v>246</v>
      </c>
      <c r="B101" s="3">
        <v>45604</v>
      </c>
      <c r="C101" s="3">
        <v>45621</v>
      </c>
      <c r="D101" s="1" t="s">
        <v>22</v>
      </c>
      <c r="E101" s="1" t="str">
        <f>UPPER(TRIM(D101))</f>
        <v>BILLING ISSUE</v>
      </c>
      <c r="F101" s="1" t="s">
        <v>6</v>
      </c>
      <c r="G101" s="1" t="s">
        <v>0</v>
      </c>
      <c r="H101" s="1" t="str">
        <f>IF(OR(TRIM(G101)="Yes",TRIM(G101)="YES",TRIM(G101)="Y",TRIM(G101)="yes"),"Yes","No")</f>
        <v>Yes</v>
      </c>
      <c r="I101" s="1" t="s">
        <v>16</v>
      </c>
      <c r="J101" s="1" t="str">
        <f>IF(OR(TRIM(I101)="Yes",TRIM(I101)="YES",TRIM(I101)="Y",TRIM(I101)="yes"),"Yes","No")</f>
        <v>No</v>
      </c>
      <c r="K101" s="1" t="s">
        <v>5</v>
      </c>
      <c r="L101" s="1" t="str">
        <f>IF(C101="","Yes","No")</f>
        <v>No</v>
      </c>
      <c r="M101" s="1">
        <f>IF(C101="", "", C101 - B101)</f>
        <v>17</v>
      </c>
      <c r="N101" s="3">
        <f>DATE(YEAR(B101),MONTH(B101),1)</f>
        <v>45597</v>
      </c>
      <c r="O101" s="2">
        <f>DATE(YEAR(B101),MONTH(B101),1)</f>
        <v>45597</v>
      </c>
    </row>
    <row r="102" spans="1:15" x14ac:dyDescent="0.2">
      <c r="A102" s="1" t="s">
        <v>37</v>
      </c>
      <c r="B102" s="3">
        <v>45754</v>
      </c>
      <c r="C102" s="3">
        <v>45771</v>
      </c>
      <c r="D102" s="1" t="s">
        <v>22</v>
      </c>
      <c r="E102" s="1" t="str">
        <f>UPPER(TRIM(D102))</f>
        <v>BILLING ISSUE</v>
      </c>
      <c r="G102" s="1" t="s">
        <v>0</v>
      </c>
      <c r="H102" s="1" t="str">
        <f>IF(OR(TRIM(G102)="Yes",TRIM(G102)="YES",TRIM(G102)="Y",TRIM(G102)="yes"),"Yes","No")</f>
        <v>Yes</v>
      </c>
      <c r="I102" s="1" t="s">
        <v>9</v>
      </c>
      <c r="J102" s="1" t="str">
        <f>IF(OR(TRIM(I102)="Yes",TRIM(I102)="YES",TRIM(I102)="Y",TRIM(I102)="yes"),"Yes","No")</f>
        <v>No</v>
      </c>
      <c r="K102" s="1" t="s">
        <v>5</v>
      </c>
      <c r="L102" s="1" t="str">
        <f>IF(C102="","Yes","No")</f>
        <v>No</v>
      </c>
      <c r="M102" s="1">
        <f>IF(C102="", "", C102 - B102)</f>
        <v>17</v>
      </c>
      <c r="N102" s="3">
        <f>DATE(YEAR(B102),MONTH(B102),1)</f>
        <v>45748</v>
      </c>
      <c r="O102" s="2">
        <f>DATE(YEAR(B102),MONTH(B102),1)</f>
        <v>45748</v>
      </c>
    </row>
    <row r="103" spans="1:15" x14ac:dyDescent="0.2">
      <c r="A103" s="1" t="s">
        <v>52</v>
      </c>
      <c r="B103" s="3">
        <v>45603</v>
      </c>
      <c r="C103" s="3">
        <v>45609</v>
      </c>
      <c r="D103" s="1" t="s">
        <v>35</v>
      </c>
      <c r="E103" s="1" t="str">
        <f>UPPER(TRIM(D103))</f>
        <v>DOCUMENTATION ERROR</v>
      </c>
      <c r="G103" s="1" t="s">
        <v>47</v>
      </c>
      <c r="H103" s="1" t="str">
        <f>IF(OR(TRIM(G103)="Yes",TRIM(G103)="YES",TRIM(G103)="Y",TRIM(G103)="yes"),"Yes","No")</f>
        <v>Yes</v>
      </c>
      <c r="J103" s="1" t="str">
        <f>IF(OR(TRIM(I103)="Yes",TRIM(I103)="YES",TRIM(I103)="Y",TRIM(I103)="yes"),"Yes","No")</f>
        <v>No</v>
      </c>
      <c r="K103" s="1" t="s">
        <v>29</v>
      </c>
      <c r="L103" s="1" t="str">
        <f>IF(C103="","Yes","No")</f>
        <v>No</v>
      </c>
      <c r="M103" s="1">
        <f>IF(C103="", "", C103 - B103)</f>
        <v>6</v>
      </c>
      <c r="N103" s="3">
        <f>DATE(YEAR(B103),MONTH(B103),1)</f>
        <v>45597</v>
      </c>
      <c r="O103" s="2">
        <f>DATE(YEAR(B103),MONTH(B103),1)</f>
        <v>45597</v>
      </c>
    </row>
    <row r="104" spans="1:15" x14ac:dyDescent="0.2">
      <c r="A104" s="1" t="s">
        <v>108</v>
      </c>
      <c r="B104" s="3">
        <v>45626</v>
      </c>
      <c r="C104" s="3">
        <v>45640</v>
      </c>
      <c r="D104" s="1" t="s">
        <v>33</v>
      </c>
      <c r="E104" s="1" t="str">
        <f>UPPER(TRIM(D104))</f>
        <v>POLICY UPDATE</v>
      </c>
      <c r="F104" s="1" t="s">
        <v>18</v>
      </c>
      <c r="G104" s="1" t="s">
        <v>47</v>
      </c>
      <c r="H104" s="1" t="str">
        <f>IF(OR(TRIM(G104)="Yes",TRIM(G104)="YES",TRIM(G104)="Y",TRIM(G104)="yes"),"Yes","No")</f>
        <v>Yes</v>
      </c>
      <c r="J104" s="1" t="str">
        <f>IF(OR(TRIM(I104)="Yes",TRIM(I104)="YES",TRIM(I104)="Y",TRIM(I104)="yes"),"Yes","No")</f>
        <v>No</v>
      </c>
      <c r="L104" s="1" t="str">
        <f>IF(C104="","Yes","No")</f>
        <v>No</v>
      </c>
      <c r="M104" s="1">
        <f>IF(C104="", "", C104 - B104)</f>
        <v>14</v>
      </c>
      <c r="N104" s="3">
        <f>DATE(YEAR(B104),MONTH(B104),1)</f>
        <v>45597</v>
      </c>
      <c r="O104" s="2">
        <f>DATE(YEAR(B104),MONTH(B104),1)</f>
        <v>45597</v>
      </c>
    </row>
    <row r="105" spans="1:15" x14ac:dyDescent="0.2">
      <c r="A105" s="1" t="s">
        <v>166</v>
      </c>
      <c r="B105" s="3">
        <v>45752</v>
      </c>
      <c r="C105" s="3">
        <v>45757</v>
      </c>
      <c r="D105" s="1" t="s">
        <v>27</v>
      </c>
      <c r="E105" s="1" t="str">
        <f>UPPER(TRIM(D105))</f>
        <v>SERVICE DELAY</v>
      </c>
      <c r="F105" s="1" t="s">
        <v>21</v>
      </c>
      <c r="G105" s="1" t="s">
        <v>47</v>
      </c>
      <c r="H105" s="1" t="str">
        <f>IF(OR(TRIM(G105)="Yes",TRIM(G105)="YES",TRIM(G105)="Y",TRIM(G105)="yes"),"Yes","No")</f>
        <v>Yes</v>
      </c>
      <c r="I105" s="1" t="s">
        <v>9</v>
      </c>
      <c r="J105" s="1" t="str">
        <f>IF(OR(TRIM(I105)="Yes",TRIM(I105)="YES",TRIM(I105)="Y",TRIM(I105)="yes"),"Yes","No")</f>
        <v>No</v>
      </c>
      <c r="K105" s="1" t="s">
        <v>29</v>
      </c>
      <c r="L105" s="1" t="str">
        <f>IF(C105="","Yes","No")</f>
        <v>No</v>
      </c>
      <c r="M105" s="1">
        <f>IF(C105="", "", C105 - B105)</f>
        <v>5</v>
      </c>
      <c r="N105" s="3">
        <f>DATE(YEAR(B105),MONTH(B105),1)</f>
        <v>45748</v>
      </c>
      <c r="O105" s="2">
        <f>DATE(YEAR(B105),MONTH(B105),1)</f>
        <v>45748</v>
      </c>
    </row>
    <row r="106" spans="1:15" x14ac:dyDescent="0.2">
      <c r="A106" s="1" t="s">
        <v>245</v>
      </c>
      <c r="B106" s="3">
        <v>45694</v>
      </c>
      <c r="C106" s="3">
        <v>45705</v>
      </c>
      <c r="D106" s="1" t="s">
        <v>24</v>
      </c>
      <c r="E106" s="1" t="str">
        <f>UPPER(TRIM(D106))</f>
        <v>BILLING ISSUE</v>
      </c>
      <c r="G106" s="1" t="s">
        <v>0</v>
      </c>
      <c r="H106" s="1" t="str">
        <f>IF(OR(TRIM(G106)="Yes",TRIM(G106)="YES",TRIM(G106)="Y",TRIM(G106)="yes"),"Yes","No")</f>
        <v>Yes</v>
      </c>
      <c r="I106" s="1" t="s">
        <v>0</v>
      </c>
      <c r="J106" s="1" t="str">
        <f>IF(OR(TRIM(I106)="Yes",TRIM(I106)="YES",TRIM(I106)="Y",TRIM(I106)="yes"),"Yes","No")</f>
        <v>Yes</v>
      </c>
      <c r="K106" s="1" t="s">
        <v>5</v>
      </c>
      <c r="L106" s="1" t="str">
        <f>IF(C106="","Yes","No")</f>
        <v>No</v>
      </c>
      <c r="M106" s="1">
        <f>IF(C106="", "", C106 - B106)</f>
        <v>11</v>
      </c>
      <c r="N106" s="3">
        <f>DATE(YEAR(B106),MONTH(B106),1)</f>
        <v>45689</v>
      </c>
      <c r="O106" s="2">
        <f>DATE(YEAR(B106),MONTH(B106),1)</f>
        <v>45689</v>
      </c>
    </row>
    <row r="107" spans="1:15" x14ac:dyDescent="0.2">
      <c r="A107" s="1" t="s">
        <v>165</v>
      </c>
      <c r="B107" s="3">
        <v>45712</v>
      </c>
      <c r="C107" s="3">
        <v>45724</v>
      </c>
      <c r="D107" s="1" t="s">
        <v>27</v>
      </c>
      <c r="E107" s="1" t="str">
        <f>UPPER(TRIM(D107))</f>
        <v>SERVICE DELAY</v>
      </c>
      <c r="F107" s="1" t="s">
        <v>18</v>
      </c>
      <c r="G107" s="1" t="s">
        <v>47</v>
      </c>
      <c r="H107" s="1" t="str">
        <f>IF(OR(TRIM(G107)="Yes",TRIM(G107)="YES",TRIM(G107)="Y",TRIM(G107)="yes"),"Yes","No")</f>
        <v>Yes</v>
      </c>
      <c r="J107" s="1" t="str">
        <f>IF(OR(TRIM(I107)="Yes",TRIM(I107)="YES",TRIM(I107)="Y",TRIM(I107)="yes"),"Yes","No")</f>
        <v>No</v>
      </c>
      <c r="K107" s="1" t="s">
        <v>15</v>
      </c>
      <c r="L107" s="1" t="str">
        <f>IF(C107="","Yes","No")</f>
        <v>No</v>
      </c>
      <c r="M107" s="1">
        <f>IF(C107="", "", C107 - B107)</f>
        <v>12</v>
      </c>
      <c r="N107" s="3">
        <f>DATE(YEAR(B107),MONTH(B107),1)</f>
        <v>45689</v>
      </c>
      <c r="O107" s="2">
        <f>DATE(YEAR(B107),MONTH(B107),1)</f>
        <v>45689</v>
      </c>
    </row>
    <row r="108" spans="1:15" x14ac:dyDescent="0.2">
      <c r="A108" s="1" t="s">
        <v>179</v>
      </c>
      <c r="B108" s="3">
        <v>45686</v>
      </c>
      <c r="C108" s="3">
        <v>45699</v>
      </c>
      <c r="D108" s="1" t="s">
        <v>35</v>
      </c>
      <c r="E108" s="1" t="str">
        <f>UPPER(TRIM(D108))</f>
        <v>DOCUMENTATION ERROR</v>
      </c>
      <c r="G108" s="1" t="s">
        <v>47</v>
      </c>
      <c r="H108" s="1" t="str">
        <f>IF(OR(TRIM(G108)="Yes",TRIM(G108)="YES",TRIM(G108)="Y",TRIM(G108)="yes"),"Yes","No")</f>
        <v>Yes</v>
      </c>
      <c r="J108" s="1" t="str">
        <f>IF(OR(TRIM(I108)="Yes",TRIM(I108)="YES",TRIM(I108)="Y",TRIM(I108)="yes"),"Yes","No")</f>
        <v>No</v>
      </c>
      <c r="K108" s="1" t="s">
        <v>29</v>
      </c>
      <c r="L108" s="1" t="str">
        <f>IF(C108="","Yes","No")</f>
        <v>No</v>
      </c>
      <c r="M108" s="1">
        <f>IF(C108="", "", C108 - B108)</f>
        <v>13</v>
      </c>
      <c r="N108" s="3">
        <f>DATE(YEAR(B108),MONTH(B108),1)</f>
        <v>45658</v>
      </c>
      <c r="O108" s="2">
        <f>DATE(YEAR(B108),MONTH(B108),1)</f>
        <v>45658</v>
      </c>
    </row>
    <row r="109" spans="1:15" x14ac:dyDescent="0.2">
      <c r="A109" s="1" t="s">
        <v>179</v>
      </c>
      <c r="B109" s="3">
        <v>45715</v>
      </c>
      <c r="C109" s="3">
        <v>45728</v>
      </c>
      <c r="D109" s="1" t="s">
        <v>3</v>
      </c>
      <c r="E109" s="1" t="str">
        <f>UPPER(TRIM(D109))</f>
        <v>COMMUNICATION DELAY</v>
      </c>
      <c r="F109" s="1" t="s">
        <v>6</v>
      </c>
      <c r="G109" s="1" t="s">
        <v>47</v>
      </c>
      <c r="H109" s="1" t="str">
        <f>IF(OR(TRIM(G109)="Yes",TRIM(G109)="YES",TRIM(G109)="Y",TRIM(G109)="yes"),"Yes","No")</f>
        <v>Yes</v>
      </c>
      <c r="J109" s="1" t="str">
        <f>IF(OR(TRIM(I109)="Yes",TRIM(I109)="YES",TRIM(I109)="Y",TRIM(I109)="yes"),"Yes","No")</f>
        <v>No</v>
      </c>
      <c r="K109" s="1" t="s">
        <v>5</v>
      </c>
      <c r="L109" s="1" t="str">
        <f>IF(C109="","Yes","No")</f>
        <v>No</v>
      </c>
      <c r="M109" s="1">
        <f>IF(C109="", "", C109 - B109)</f>
        <v>13</v>
      </c>
      <c r="N109" s="3">
        <f>DATE(YEAR(B109),MONTH(B109),1)</f>
        <v>45689</v>
      </c>
      <c r="O109" s="2">
        <f>DATE(YEAR(B109),MONTH(B109),1)</f>
        <v>45689</v>
      </c>
    </row>
    <row r="110" spans="1:15" x14ac:dyDescent="0.2">
      <c r="A110" s="1" t="s">
        <v>28</v>
      </c>
      <c r="B110" s="3">
        <v>45607</v>
      </c>
      <c r="D110" s="1" t="s">
        <v>19</v>
      </c>
      <c r="E110" s="1" t="str">
        <f>UPPER(TRIM(D110))</f>
        <v>DOC ERROR</v>
      </c>
      <c r="F110" s="1" t="s">
        <v>2</v>
      </c>
      <c r="G110" s="1" t="s">
        <v>9</v>
      </c>
      <c r="H110" s="1" t="str">
        <f>IF(OR(TRIM(G110)="Yes",TRIM(G110)="YES",TRIM(G110)="Y",TRIM(G110)="yes"),"Yes","No")</f>
        <v>No</v>
      </c>
      <c r="I110" s="1" t="s">
        <v>0</v>
      </c>
      <c r="J110" s="1" t="str">
        <f>IF(OR(TRIM(I110)="Yes",TRIM(I110)="YES",TRIM(I110)="Y",TRIM(I110)="yes"),"Yes","No")</f>
        <v>Yes</v>
      </c>
      <c r="K110" s="1" t="s">
        <v>5</v>
      </c>
      <c r="L110" s="1" t="str">
        <f>IF(C110="","Yes","No")</f>
        <v>Yes</v>
      </c>
      <c r="M110" s="1" t="str">
        <f>IF(C110="", "", C110 - B110)</f>
        <v/>
      </c>
      <c r="N110" s="3">
        <f>DATE(YEAR(B110),MONTH(B110),1)</f>
        <v>45597</v>
      </c>
      <c r="O110" s="2">
        <f>DATE(YEAR(B110),MONTH(B110),1)</f>
        <v>45597</v>
      </c>
    </row>
    <row r="111" spans="1:15" x14ac:dyDescent="0.2">
      <c r="A111" s="1" t="s">
        <v>222</v>
      </c>
      <c r="B111" s="3">
        <v>45648</v>
      </c>
      <c r="C111" s="3">
        <v>45661</v>
      </c>
      <c r="D111" s="1" t="s">
        <v>22</v>
      </c>
      <c r="E111" s="1" t="str">
        <f>UPPER(TRIM(D111))</f>
        <v>BILLING ISSUE</v>
      </c>
      <c r="F111" s="1" t="s">
        <v>18</v>
      </c>
      <c r="G111" s="1" t="s">
        <v>1</v>
      </c>
      <c r="H111" s="1" t="str">
        <f>IF(OR(TRIM(G111)="Yes",TRIM(G111)="YES",TRIM(G111)="Y",TRIM(G111)="yes"),"Yes","No")</f>
        <v>Yes</v>
      </c>
      <c r="I111" s="1" t="s">
        <v>16</v>
      </c>
      <c r="J111" s="1" t="str">
        <f>IF(OR(TRIM(I111)="Yes",TRIM(I111)="YES",TRIM(I111)="Y",TRIM(I111)="yes"),"Yes","No")</f>
        <v>No</v>
      </c>
      <c r="K111" s="1" t="s">
        <v>29</v>
      </c>
      <c r="L111" s="1" t="str">
        <f>IF(C111="","Yes","No")</f>
        <v>No</v>
      </c>
      <c r="M111" s="1">
        <f>IF(C111="", "", C111 - B111)</f>
        <v>13</v>
      </c>
      <c r="N111" s="3">
        <f>DATE(YEAR(B111),MONTH(B111),1)</f>
        <v>45627</v>
      </c>
      <c r="O111" s="2">
        <f>DATE(YEAR(B111),MONTH(B111),1)</f>
        <v>45627</v>
      </c>
    </row>
    <row r="112" spans="1:15" x14ac:dyDescent="0.2">
      <c r="A112" s="1" t="s">
        <v>130</v>
      </c>
      <c r="B112" s="3">
        <v>45611</v>
      </c>
      <c r="C112" s="3">
        <v>45620</v>
      </c>
      <c r="D112" s="1" t="s">
        <v>7</v>
      </c>
      <c r="E112" s="1" t="str">
        <f>UPPER(TRIM(D112))</f>
        <v>BILLING ISSUE</v>
      </c>
      <c r="H112" s="1" t="str">
        <f>IF(OR(TRIM(G112)="Yes",TRIM(G112)="YES",TRIM(G112)="Y",TRIM(G112)="yes"),"Yes","No")</f>
        <v>No</v>
      </c>
      <c r="J112" s="1" t="str">
        <f>IF(OR(TRIM(I112)="Yes",TRIM(I112)="YES",TRIM(I112)="Y",TRIM(I112)="yes"),"Yes","No")</f>
        <v>No</v>
      </c>
      <c r="K112" s="1" t="s">
        <v>29</v>
      </c>
      <c r="L112" s="1" t="str">
        <f>IF(C112="","Yes","No")</f>
        <v>No</v>
      </c>
      <c r="M112" s="1">
        <f>IF(C112="", "", C112 - B112)</f>
        <v>9</v>
      </c>
      <c r="N112" s="3">
        <f>DATE(YEAR(B112),MONTH(B112),1)</f>
        <v>45597</v>
      </c>
      <c r="O112" s="2">
        <f>DATE(YEAR(B112),MONTH(B112),1)</f>
        <v>45597</v>
      </c>
    </row>
    <row r="113" spans="1:15" x14ac:dyDescent="0.2">
      <c r="A113" s="1" t="s">
        <v>244</v>
      </c>
      <c r="B113" s="3">
        <v>45609</v>
      </c>
      <c r="C113" s="3">
        <v>45629</v>
      </c>
      <c r="D113" s="1" t="s">
        <v>35</v>
      </c>
      <c r="E113" s="1" t="str">
        <f>UPPER(TRIM(D113))</f>
        <v>DOCUMENTATION ERROR</v>
      </c>
      <c r="F113" s="1" t="s">
        <v>6</v>
      </c>
      <c r="G113" s="1" t="s">
        <v>1</v>
      </c>
      <c r="H113" s="1" t="str">
        <f>IF(OR(TRIM(G113)="Yes",TRIM(G113)="YES",TRIM(G113)="Y",TRIM(G113)="yes"),"Yes","No")</f>
        <v>Yes</v>
      </c>
      <c r="I113" s="1" t="s">
        <v>16</v>
      </c>
      <c r="J113" s="1" t="str">
        <f>IF(OR(TRIM(I113)="Yes",TRIM(I113)="YES",TRIM(I113)="Y",TRIM(I113)="yes"),"Yes","No")</f>
        <v>No</v>
      </c>
      <c r="L113" s="1" t="str">
        <f>IF(C113="","Yes","No")</f>
        <v>No</v>
      </c>
      <c r="M113" s="1">
        <f>IF(C113="", "", C113 - B113)</f>
        <v>20</v>
      </c>
      <c r="N113" s="3">
        <f>DATE(YEAR(B113),MONTH(B113),1)</f>
        <v>45597</v>
      </c>
      <c r="O113" s="2">
        <f>DATE(YEAR(B113),MONTH(B113),1)</f>
        <v>45597</v>
      </c>
    </row>
    <row r="114" spans="1:15" x14ac:dyDescent="0.2">
      <c r="A114" s="1" t="s">
        <v>243</v>
      </c>
      <c r="B114" s="3">
        <v>45706</v>
      </c>
      <c r="C114" s="3">
        <v>45709</v>
      </c>
      <c r="D114" s="1" t="s">
        <v>24</v>
      </c>
      <c r="E114" s="1" t="str">
        <f>UPPER(TRIM(D114))</f>
        <v>BILLING ISSUE</v>
      </c>
      <c r="G114" s="1" t="s">
        <v>9</v>
      </c>
      <c r="H114" s="1" t="str">
        <f>IF(OR(TRIM(G114)="Yes",TRIM(G114)="YES",TRIM(G114)="Y",TRIM(G114)="yes"),"Yes","No")</f>
        <v>No</v>
      </c>
      <c r="J114" s="1" t="str">
        <f>IF(OR(TRIM(I114)="Yes",TRIM(I114)="YES",TRIM(I114)="Y",TRIM(I114)="yes"),"Yes","No")</f>
        <v>No</v>
      </c>
      <c r="L114" s="1" t="str">
        <f>IF(C114="","Yes","No")</f>
        <v>No</v>
      </c>
      <c r="M114" s="1">
        <f>IF(C114="", "", C114 - B114)</f>
        <v>3</v>
      </c>
      <c r="N114" s="3">
        <f>DATE(YEAR(B114),MONTH(B114),1)</f>
        <v>45689</v>
      </c>
      <c r="O114" s="2">
        <f>DATE(YEAR(B114),MONTH(B114),1)</f>
        <v>45689</v>
      </c>
    </row>
    <row r="115" spans="1:15" x14ac:dyDescent="0.2">
      <c r="A115" s="1" t="s">
        <v>59</v>
      </c>
      <c r="B115" s="3">
        <v>45717</v>
      </c>
      <c r="C115" s="3">
        <v>45731</v>
      </c>
      <c r="D115" s="1" t="s">
        <v>22</v>
      </c>
      <c r="E115" s="1" t="str">
        <f>UPPER(TRIM(D115))</f>
        <v>BILLING ISSUE</v>
      </c>
      <c r="F115" s="1" t="s">
        <v>21</v>
      </c>
      <c r="G115" s="1" t="s">
        <v>9</v>
      </c>
      <c r="H115" s="1" t="str">
        <f>IF(OR(TRIM(G115)="Yes",TRIM(G115)="YES",TRIM(G115)="Y",TRIM(G115)="yes"),"Yes","No")</f>
        <v>No</v>
      </c>
      <c r="I115" s="1" t="s">
        <v>1</v>
      </c>
      <c r="J115" s="1" t="str">
        <f>IF(OR(TRIM(I115)="Yes",TRIM(I115)="YES",TRIM(I115)="Y",TRIM(I115)="yes"),"Yes","No")</f>
        <v>Yes</v>
      </c>
      <c r="K115" s="1" t="s">
        <v>15</v>
      </c>
      <c r="L115" s="1" t="str">
        <f>IF(C115="","Yes","No")</f>
        <v>No</v>
      </c>
      <c r="M115" s="1">
        <f>IF(C115="", "", C115 - B115)</f>
        <v>14</v>
      </c>
      <c r="N115" s="3">
        <f>DATE(YEAR(B115),MONTH(B115),1)</f>
        <v>45717</v>
      </c>
      <c r="O115" s="2">
        <f>DATE(YEAR(B115),MONTH(B115),1)</f>
        <v>45717</v>
      </c>
    </row>
    <row r="116" spans="1:15" x14ac:dyDescent="0.2">
      <c r="A116" s="1" t="s">
        <v>93</v>
      </c>
      <c r="B116" s="3">
        <v>45653</v>
      </c>
      <c r="D116" s="1" t="s">
        <v>10</v>
      </c>
      <c r="E116" s="1" t="str">
        <f>UPPER(TRIM(D116))</f>
        <v>POLICY UPDATE</v>
      </c>
      <c r="F116" s="1" t="s">
        <v>6</v>
      </c>
      <c r="G116" s="1" t="s">
        <v>16</v>
      </c>
      <c r="H116" s="1" t="str">
        <f>IF(OR(TRIM(G116)="Yes",TRIM(G116)="YES",TRIM(G116)="Y",TRIM(G116)="yes"),"Yes","No")</f>
        <v>No</v>
      </c>
      <c r="J116" s="1" t="str">
        <f>IF(OR(TRIM(I116)="Yes",TRIM(I116)="YES",TRIM(I116)="Y",TRIM(I116)="yes"),"Yes","No")</f>
        <v>No</v>
      </c>
      <c r="L116" s="1" t="str">
        <f>IF(C116="","Yes","No")</f>
        <v>Yes</v>
      </c>
      <c r="M116" s="1" t="str">
        <f>IF(C116="", "", C116 - B116)</f>
        <v/>
      </c>
      <c r="N116" s="3">
        <f>DATE(YEAR(B116),MONTH(B116),1)</f>
        <v>45627</v>
      </c>
      <c r="O116" s="2">
        <f>DATE(YEAR(B116),MONTH(B116),1)</f>
        <v>45627</v>
      </c>
    </row>
    <row r="117" spans="1:15" x14ac:dyDescent="0.2">
      <c r="A117" s="1" t="s">
        <v>242</v>
      </c>
      <c r="B117" s="3">
        <v>45629</v>
      </c>
      <c r="D117" s="1" t="s">
        <v>44</v>
      </c>
      <c r="E117" s="1" t="str">
        <f>UPPER(TRIM(D117))</f>
        <v>COMMUNICATION DELAY</v>
      </c>
      <c r="F117" s="1" t="s">
        <v>18</v>
      </c>
      <c r="G117" s="1" t="s">
        <v>12</v>
      </c>
      <c r="H117" s="1" t="str">
        <f>IF(OR(TRIM(G117)="Yes",TRIM(G117)="YES",TRIM(G117)="Y",TRIM(G117)="yes"),"Yes","No")</f>
        <v>No</v>
      </c>
      <c r="I117" s="1" t="s">
        <v>1</v>
      </c>
      <c r="J117" s="1" t="str">
        <f>IF(OR(TRIM(I117)="Yes",TRIM(I117)="YES",TRIM(I117)="Y",TRIM(I117)="yes"),"Yes","No")</f>
        <v>Yes</v>
      </c>
      <c r="L117" s="1" t="str">
        <f>IF(C117="","Yes","No")</f>
        <v>Yes</v>
      </c>
      <c r="M117" s="1" t="str">
        <f>IF(C117="", "", C117 - B117)</f>
        <v/>
      </c>
      <c r="N117" s="3">
        <f>DATE(YEAR(B117),MONTH(B117),1)</f>
        <v>45627</v>
      </c>
      <c r="O117" s="2">
        <f>DATE(YEAR(B117),MONTH(B117),1)</f>
        <v>45627</v>
      </c>
    </row>
    <row r="118" spans="1:15" x14ac:dyDescent="0.2">
      <c r="A118" s="1" t="s">
        <v>126</v>
      </c>
      <c r="B118" s="3">
        <v>45755</v>
      </c>
      <c r="C118" s="3">
        <v>45771</v>
      </c>
      <c r="D118" s="1" t="s">
        <v>33</v>
      </c>
      <c r="E118" s="1" t="str">
        <f>UPPER(TRIM(D118))</f>
        <v>POLICY UPDATE</v>
      </c>
      <c r="G118" s="1" t="s">
        <v>9</v>
      </c>
      <c r="H118" s="1" t="str">
        <f>IF(OR(TRIM(G118)="Yes",TRIM(G118)="YES",TRIM(G118)="Y",TRIM(G118)="yes"),"Yes","No")</f>
        <v>No</v>
      </c>
      <c r="I118" s="1" t="s">
        <v>16</v>
      </c>
      <c r="J118" s="1" t="str">
        <f>IF(OR(TRIM(I118)="Yes",TRIM(I118)="YES",TRIM(I118)="Y",TRIM(I118)="yes"),"Yes","No")</f>
        <v>No</v>
      </c>
      <c r="L118" s="1" t="str">
        <f>IF(C118="","Yes","No")</f>
        <v>No</v>
      </c>
      <c r="M118" s="1">
        <f>IF(C118="", "", C118 - B118)</f>
        <v>16</v>
      </c>
      <c r="N118" s="3">
        <f>DATE(YEAR(B118),MONTH(B118),1)</f>
        <v>45748</v>
      </c>
      <c r="O118" s="2">
        <f>DATE(YEAR(B118),MONTH(B118),1)</f>
        <v>45748</v>
      </c>
    </row>
    <row r="119" spans="1:15" x14ac:dyDescent="0.2">
      <c r="A119" s="1" t="s">
        <v>241</v>
      </c>
      <c r="B119" s="3">
        <v>45676</v>
      </c>
      <c r="C119" s="3">
        <v>45685</v>
      </c>
      <c r="D119" s="1" t="s">
        <v>33</v>
      </c>
      <c r="E119" s="1" t="str">
        <f>UPPER(TRIM(D119))</f>
        <v>POLICY UPDATE</v>
      </c>
      <c r="F119" s="1" t="s">
        <v>2</v>
      </c>
      <c r="G119" s="1" t="s">
        <v>9</v>
      </c>
      <c r="H119" s="1" t="str">
        <f>IF(OR(TRIM(G119)="Yes",TRIM(G119)="YES",TRIM(G119)="Y",TRIM(G119)="yes"),"Yes","No")</f>
        <v>No</v>
      </c>
      <c r="I119" s="1" t="s">
        <v>0</v>
      </c>
      <c r="J119" s="1" t="str">
        <f>IF(OR(TRIM(I119)="Yes",TRIM(I119)="YES",TRIM(I119)="Y",TRIM(I119)="yes"),"Yes","No")</f>
        <v>Yes</v>
      </c>
      <c r="K119" s="1" t="s">
        <v>29</v>
      </c>
      <c r="L119" s="1" t="str">
        <f>IF(C119="","Yes","No")</f>
        <v>No</v>
      </c>
      <c r="M119" s="1">
        <f>IF(C119="", "", C119 - B119)</f>
        <v>9</v>
      </c>
      <c r="N119" s="3">
        <f>DATE(YEAR(B119),MONTH(B119),1)</f>
        <v>45658</v>
      </c>
      <c r="O119" s="2">
        <f>DATE(YEAR(B119),MONTH(B119),1)</f>
        <v>45658</v>
      </c>
    </row>
    <row r="120" spans="1:15" x14ac:dyDescent="0.2">
      <c r="A120" s="1" t="s">
        <v>240</v>
      </c>
      <c r="B120" s="3">
        <v>45582</v>
      </c>
      <c r="C120" s="3">
        <v>45601</v>
      </c>
      <c r="D120" s="1" t="s">
        <v>3</v>
      </c>
      <c r="E120" s="1" t="str">
        <f>UPPER(TRIM(D120))</f>
        <v>COMMUNICATION DELAY</v>
      </c>
      <c r="F120" s="1" t="s">
        <v>18</v>
      </c>
      <c r="G120" s="1" t="s">
        <v>47</v>
      </c>
      <c r="H120" s="1" t="str">
        <f>IF(OR(TRIM(G120)="Yes",TRIM(G120)="YES",TRIM(G120)="Y",TRIM(G120)="yes"),"Yes","No")</f>
        <v>Yes</v>
      </c>
      <c r="I120" s="1" t="s">
        <v>1</v>
      </c>
      <c r="J120" s="1" t="str">
        <f>IF(OR(TRIM(I120)="Yes",TRIM(I120)="YES",TRIM(I120)="Y",TRIM(I120)="yes"),"Yes","No")</f>
        <v>Yes</v>
      </c>
      <c r="K120" s="1" t="s">
        <v>29</v>
      </c>
      <c r="L120" s="1" t="str">
        <f>IF(C120="","Yes","No")</f>
        <v>No</v>
      </c>
      <c r="M120" s="1">
        <f>IF(C120="", "", C120 - B120)</f>
        <v>19</v>
      </c>
      <c r="N120" s="3">
        <f>DATE(YEAR(B120),MONTH(B120),1)</f>
        <v>45566</v>
      </c>
      <c r="O120" s="2">
        <f>DATE(YEAR(B120),MONTH(B120),1)</f>
        <v>45566</v>
      </c>
    </row>
    <row r="121" spans="1:15" x14ac:dyDescent="0.2">
      <c r="A121" s="1" t="s">
        <v>136</v>
      </c>
      <c r="B121" s="3">
        <v>45569</v>
      </c>
      <c r="C121" s="3">
        <v>45589</v>
      </c>
      <c r="D121" s="1" t="s">
        <v>19</v>
      </c>
      <c r="E121" s="1" t="str">
        <f>UPPER(TRIM(D121))</f>
        <v>DOC ERROR</v>
      </c>
      <c r="F121" s="1" t="s">
        <v>6</v>
      </c>
      <c r="G121" s="1" t="s">
        <v>0</v>
      </c>
      <c r="H121" s="1" t="str">
        <f>IF(OR(TRIM(G121)="Yes",TRIM(G121)="YES",TRIM(G121)="Y",TRIM(G121)="yes"),"Yes","No")</f>
        <v>Yes</v>
      </c>
      <c r="I121" s="1" t="s">
        <v>0</v>
      </c>
      <c r="J121" s="1" t="str">
        <f>IF(OR(TRIM(I121)="Yes",TRIM(I121)="YES",TRIM(I121)="Y",TRIM(I121)="yes"),"Yes","No")</f>
        <v>Yes</v>
      </c>
      <c r="K121" s="1" t="s">
        <v>15</v>
      </c>
      <c r="L121" s="1" t="str">
        <f>IF(C121="","Yes","No")</f>
        <v>No</v>
      </c>
      <c r="M121" s="1">
        <f>IF(C121="", "", C121 - B121)</f>
        <v>20</v>
      </c>
      <c r="N121" s="3">
        <f>DATE(YEAR(B121),MONTH(B121),1)</f>
        <v>45566</v>
      </c>
      <c r="O121" s="2">
        <f>DATE(YEAR(B121),MONTH(B121),1)</f>
        <v>45566</v>
      </c>
    </row>
    <row r="122" spans="1:15" x14ac:dyDescent="0.2">
      <c r="A122" s="1" t="s">
        <v>180</v>
      </c>
      <c r="B122" s="3">
        <v>45654</v>
      </c>
      <c r="C122" s="3">
        <v>45660</v>
      </c>
      <c r="D122" s="1" t="s">
        <v>27</v>
      </c>
      <c r="E122" s="1" t="str">
        <f>UPPER(TRIM(D122))</f>
        <v>SERVICE DELAY</v>
      </c>
      <c r="F122" s="1" t="s">
        <v>6</v>
      </c>
      <c r="H122" s="1" t="str">
        <f>IF(OR(TRIM(G122)="Yes",TRIM(G122)="YES",TRIM(G122)="Y",TRIM(G122)="yes"),"Yes","No")</f>
        <v>No</v>
      </c>
      <c r="J122" s="1" t="str">
        <f>IF(OR(TRIM(I122)="Yes",TRIM(I122)="YES",TRIM(I122)="Y",TRIM(I122)="yes"),"Yes","No")</f>
        <v>No</v>
      </c>
      <c r="K122" s="1" t="s">
        <v>5</v>
      </c>
      <c r="L122" s="1" t="str">
        <f>IF(C122="","Yes","No")</f>
        <v>No</v>
      </c>
      <c r="M122" s="1">
        <f>IF(C122="", "", C122 - B122)</f>
        <v>6</v>
      </c>
      <c r="N122" s="3">
        <f>DATE(YEAR(B122),MONTH(B122),1)</f>
        <v>45627</v>
      </c>
      <c r="O122" s="2">
        <f>DATE(YEAR(B122),MONTH(B122),1)</f>
        <v>45627</v>
      </c>
    </row>
    <row r="123" spans="1:15" x14ac:dyDescent="0.2">
      <c r="A123" s="1" t="s">
        <v>239</v>
      </c>
      <c r="B123" s="3">
        <v>45762</v>
      </c>
      <c r="C123" s="3">
        <v>45774</v>
      </c>
      <c r="D123" s="1" t="s">
        <v>24</v>
      </c>
      <c r="E123" s="1" t="str">
        <f>UPPER(TRIM(D123))</f>
        <v>BILLING ISSUE</v>
      </c>
      <c r="F123" s="1" t="s">
        <v>2</v>
      </c>
      <c r="G123" s="1" t="s">
        <v>0</v>
      </c>
      <c r="H123" s="1" t="str">
        <f>IF(OR(TRIM(G123)="Yes",TRIM(G123)="YES",TRIM(G123)="Y",TRIM(G123)="yes"),"Yes","No")</f>
        <v>Yes</v>
      </c>
      <c r="I123" s="1" t="s">
        <v>1</v>
      </c>
      <c r="J123" s="1" t="str">
        <f>IF(OR(TRIM(I123)="Yes",TRIM(I123)="YES",TRIM(I123)="Y",TRIM(I123)="yes"),"Yes","No")</f>
        <v>Yes</v>
      </c>
      <c r="K123" s="1" t="s">
        <v>29</v>
      </c>
      <c r="L123" s="1" t="str">
        <f>IF(C123="","Yes","No")</f>
        <v>No</v>
      </c>
      <c r="M123" s="1">
        <f>IF(C123="", "", C123 - B123)</f>
        <v>12</v>
      </c>
      <c r="N123" s="3">
        <f>DATE(YEAR(B123),MONTH(B123),1)</f>
        <v>45748</v>
      </c>
      <c r="O123" s="2">
        <f>DATE(YEAR(B123),MONTH(B123),1)</f>
        <v>45748</v>
      </c>
    </row>
    <row r="124" spans="1:15" x14ac:dyDescent="0.2">
      <c r="A124" s="1" t="s">
        <v>115</v>
      </c>
      <c r="B124" s="3">
        <v>45679</v>
      </c>
      <c r="C124" s="3">
        <v>45685</v>
      </c>
      <c r="D124" s="1" t="s">
        <v>44</v>
      </c>
      <c r="E124" s="1" t="str">
        <f>UPPER(TRIM(D124))</f>
        <v>COMMUNICATION DELAY</v>
      </c>
      <c r="G124" s="1" t="s">
        <v>16</v>
      </c>
      <c r="H124" s="1" t="str">
        <f>IF(OR(TRIM(G124)="Yes",TRIM(G124)="YES",TRIM(G124)="Y",TRIM(G124)="yes"),"Yes","No")</f>
        <v>No</v>
      </c>
      <c r="I124" s="1" t="s">
        <v>9</v>
      </c>
      <c r="J124" s="1" t="str">
        <f>IF(OR(TRIM(I124)="Yes",TRIM(I124)="YES",TRIM(I124)="Y",TRIM(I124)="yes"),"Yes","No")</f>
        <v>No</v>
      </c>
      <c r="L124" s="1" t="str">
        <f>IF(C124="","Yes","No")</f>
        <v>No</v>
      </c>
      <c r="M124" s="1">
        <f>IF(C124="", "", C124 - B124)</f>
        <v>6</v>
      </c>
      <c r="N124" s="3">
        <f>DATE(YEAR(B124),MONTH(B124),1)</f>
        <v>45658</v>
      </c>
      <c r="O124" s="2">
        <f>DATE(YEAR(B124),MONTH(B124),1)</f>
        <v>45658</v>
      </c>
    </row>
    <row r="125" spans="1:15" x14ac:dyDescent="0.2">
      <c r="A125" s="1" t="s">
        <v>125</v>
      </c>
      <c r="B125" s="3">
        <v>45608</v>
      </c>
      <c r="C125" s="3">
        <v>45618</v>
      </c>
      <c r="D125" s="1" t="s">
        <v>44</v>
      </c>
      <c r="E125" s="1" t="str">
        <f>UPPER(TRIM(D125))</f>
        <v>COMMUNICATION DELAY</v>
      </c>
      <c r="F125" s="1" t="s">
        <v>6</v>
      </c>
      <c r="H125" s="1" t="str">
        <f>IF(OR(TRIM(G125)="Yes",TRIM(G125)="YES",TRIM(G125)="Y",TRIM(G125)="yes"),"Yes","No")</f>
        <v>No</v>
      </c>
      <c r="J125" s="1" t="str">
        <f>IF(OR(TRIM(I125)="Yes",TRIM(I125)="YES",TRIM(I125)="Y",TRIM(I125)="yes"),"Yes","No")</f>
        <v>No</v>
      </c>
      <c r="K125" s="1" t="s">
        <v>5</v>
      </c>
      <c r="L125" s="1" t="str">
        <f>IF(C125="","Yes","No")</f>
        <v>No</v>
      </c>
      <c r="M125" s="1">
        <f>IF(C125="", "", C125 - B125)</f>
        <v>10</v>
      </c>
      <c r="N125" s="3">
        <f>DATE(YEAR(B125),MONTH(B125),1)</f>
        <v>45597</v>
      </c>
      <c r="O125" s="2">
        <f>DATE(YEAR(B125),MONTH(B125),1)</f>
        <v>45597</v>
      </c>
    </row>
    <row r="126" spans="1:15" x14ac:dyDescent="0.2">
      <c r="A126" s="1" t="s">
        <v>238</v>
      </c>
      <c r="B126" s="3">
        <v>45724</v>
      </c>
      <c r="C126" s="3">
        <v>45732</v>
      </c>
      <c r="D126" s="1" t="s">
        <v>7</v>
      </c>
      <c r="E126" s="1" t="str">
        <f>UPPER(TRIM(D126))</f>
        <v>BILLING ISSUE</v>
      </c>
      <c r="F126" s="1" t="s">
        <v>6</v>
      </c>
      <c r="H126" s="1" t="str">
        <f>IF(OR(TRIM(G126)="Yes",TRIM(G126)="YES",TRIM(G126)="Y",TRIM(G126)="yes"),"Yes","No")</f>
        <v>No</v>
      </c>
      <c r="J126" s="1" t="str">
        <f>IF(OR(TRIM(I126)="Yes",TRIM(I126)="YES",TRIM(I126)="Y",TRIM(I126)="yes"),"Yes","No")</f>
        <v>No</v>
      </c>
      <c r="K126" s="1" t="s">
        <v>5</v>
      </c>
      <c r="L126" s="1" t="str">
        <f>IF(C126="","Yes","No")</f>
        <v>No</v>
      </c>
      <c r="M126" s="1">
        <f>IF(C126="", "", C126 - B126)</f>
        <v>8</v>
      </c>
      <c r="N126" s="3">
        <f>DATE(YEAR(B126),MONTH(B126),1)</f>
        <v>45717</v>
      </c>
      <c r="O126" s="2">
        <f>DATE(YEAR(B126),MONTH(B126),1)</f>
        <v>45717</v>
      </c>
    </row>
    <row r="127" spans="1:15" x14ac:dyDescent="0.2">
      <c r="A127" s="1" t="s">
        <v>148</v>
      </c>
      <c r="B127" s="3">
        <v>45670</v>
      </c>
      <c r="C127" s="3">
        <v>45680</v>
      </c>
      <c r="D127" s="1" t="s">
        <v>44</v>
      </c>
      <c r="E127" s="1" t="str">
        <f>UPPER(TRIM(D127))</f>
        <v>COMMUNICATION DELAY</v>
      </c>
      <c r="F127" s="1" t="s">
        <v>18</v>
      </c>
      <c r="G127" s="1" t="s">
        <v>0</v>
      </c>
      <c r="H127" s="1" t="str">
        <f>IF(OR(TRIM(G127)="Yes",TRIM(G127)="YES",TRIM(G127)="Y",TRIM(G127)="yes"),"Yes","No")</f>
        <v>Yes</v>
      </c>
      <c r="I127" s="1" t="s">
        <v>9</v>
      </c>
      <c r="J127" s="1" t="str">
        <f>IF(OR(TRIM(I127)="Yes",TRIM(I127)="YES",TRIM(I127)="Y",TRIM(I127)="yes"),"Yes","No")</f>
        <v>No</v>
      </c>
      <c r="L127" s="1" t="str">
        <f>IF(C127="","Yes","No")</f>
        <v>No</v>
      </c>
      <c r="M127" s="1">
        <f>IF(C127="", "", C127 - B127)</f>
        <v>10</v>
      </c>
      <c r="N127" s="3">
        <f>DATE(YEAR(B127),MONTH(B127),1)</f>
        <v>45658</v>
      </c>
      <c r="O127" s="2">
        <f>DATE(YEAR(B127),MONTH(B127),1)</f>
        <v>45658</v>
      </c>
    </row>
    <row r="128" spans="1:15" x14ac:dyDescent="0.2">
      <c r="A128" s="1" t="s">
        <v>153</v>
      </c>
      <c r="B128" s="3">
        <v>45705</v>
      </c>
      <c r="C128" s="3">
        <v>45708</v>
      </c>
      <c r="D128" s="1" t="s">
        <v>3</v>
      </c>
      <c r="E128" s="1" t="str">
        <f>UPPER(TRIM(D128))</f>
        <v>COMMUNICATION DELAY</v>
      </c>
      <c r="F128" s="1" t="s">
        <v>18</v>
      </c>
      <c r="G128" s="1" t="s">
        <v>12</v>
      </c>
      <c r="H128" s="1" t="str">
        <f>IF(OR(TRIM(G128)="Yes",TRIM(G128)="YES",TRIM(G128)="Y",TRIM(G128)="yes"),"Yes","No")</f>
        <v>No</v>
      </c>
      <c r="I128" s="1" t="s">
        <v>1</v>
      </c>
      <c r="J128" s="1" t="str">
        <f>IF(OR(TRIM(I128)="Yes",TRIM(I128)="YES",TRIM(I128)="Y",TRIM(I128)="yes"),"Yes","No")</f>
        <v>Yes</v>
      </c>
      <c r="K128" s="1" t="s">
        <v>5</v>
      </c>
      <c r="L128" s="1" t="str">
        <f>IF(C128="","Yes","No")</f>
        <v>No</v>
      </c>
      <c r="M128" s="1">
        <f>IF(C128="", "", C128 - B128)</f>
        <v>3</v>
      </c>
      <c r="N128" s="3">
        <f>DATE(YEAR(B128),MONTH(B128),1)</f>
        <v>45689</v>
      </c>
      <c r="O128" s="2">
        <f>DATE(YEAR(B128),MONTH(B128),1)</f>
        <v>45689</v>
      </c>
    </row>
    <row r="129" spans="1:15" x14ac:dyDescent="0.2">
      <c r="A129" s="1" t="s">
        <v>155</v>
      </c>
      <c r="B129" s="3">
        <v>45749</v>
      </c>
      <c r="C129" s="3">
        <v>45766</v>
      </c>
      <c r="D129" s="1" t="s">
        <v>35</v>
      </c>
      <c r="E129" s="1" t="str">
        <f>UPPER(TRIM(D129))</f>
        <v>DOCUMENTATION ERROR</v>
      </c>
      <c r="F129" s="1" t="s">
        <v>21</v>
      </c>
      <c r="G129" s="1" t="s">
        <v>1</v>
      </c>
      <c r="H129" s="1" t="str">
        <f>IF(OR(TRIM(G129)="Yes",TRIM(G129)="YES",TRIM(G129)="Y",TRIM(G129)="yes"),"Yes","No")</f>
        <v>Yes</v>
      </c>
      <c r="I129" s="1" t="s">
        <v>9</v>
      </c>
      <c r="J129" s="1" t="str">
        <f>IF(OR(TRIM(I129)="Yes",TRIM(I129)="YES",TRIM(I129)="Y",TRIM(I129)="yes"),"Yes","No")</f>
        <v>No</v>
      </c>
      <c r="K129" s="1" t="s">
        <v>29</v>
      </c>
      <c r="L129" s="1" t="str">
        <f>IF(C129="","Yes","No")</f>
        <v>No</v>
      </c>
      <c r="M129" s="1">
        <f>IF(C129="", "", C129 - B129)</f>
        <v>17</v>
      </c>
      <c r="N129" s="3">
        <f>DATE(YEAR(B129),MONTH(B129),1)</f>
        <v>45748</v>
      </c>
      <c r="O129" s="2">
        <f>DATE(YEAR(B129),MONTH(B129),1)</f>
        <v>45748</v>
      </c>
    </row>
    <row r="130" spans="1:15" x14ac:dyDescent="0.2">
      <c r="A130" s="1" t="s">
        <v>237</v>
      </c>
      <c r="B130" s="3">
        <v>45721</v>
      </c>
      <c r="C130" s="3">
        <v>45735</v>
      </c>
      <c r="D130" s="1" t="s">
        <v>3</v>
      </c>
      <c r="E130" s="1" t="str">
        <f>UPPER(TRIM(D130))</f>
        <v>COMMUNICATION DELAY</v>
      </c>
      <c r="F130" s="1" t="s">
        <v>18</v>
      </c>
      <c r="H130" s="1" t="str">
        <f>IF(OR(TRIM(G130)="Yes",TRIM(G130)="YES",TRIM(G130)="Y",TRIM(G130)="yes"),"Yes","No")</f>
        <v>No</v>
      </c>
      <c r="I130" s="1" t="s">
        <v>9</v>
      </c>
      <c r="J130" s="1" t="str">
        <f>IF(OR(TRIM(I130)="Yes",TRIM(I130)="YES",TRIM(I130)="Y",TRIM(I130)="yes"),"Yes","No")</f>
        <v>No</v>
      </c>
      <c r="L130" s="1" t="str">
        <f>IF(C130="","Yes","No")</f>
        <v>No</v>
      </c>
      <c r="M130" s="1">
        <f>IF(C130="", "", C130 - B130)</f>
        <v>14</v>
      </c>
      <c r="N130" s="3">
        <f>DATE(YEAR(B130),MONTH(B130),1)</f>
        <v>45717</v>
      </c>
      <c r="O130" s="2">
        <f>DATE(YEAR(B130),MONTH(B130),1)</f>
        <v>45717</v>
      </c>
    </row>
    <row r="131" spans="1:15" x14ac:dyDescent="0.2">
      <c r="A131" s="1" t="s">
        <v>134</v>
      </c>
      <c r="B131" s="3">
        <v>45708</v>
      </c>
      <c r="C131" s="3">
        <v>45723</v>
      </c>
      <c r="D131" s="1" t="s">
        <v>33</v>
      </c>
      <c r="E131" s="1" t="str">
        <f>UPPER(TRIM(D131))</f>
        <v>POLICY UPDATE</v>
      </c>
      <c r="F131" s="1" t="s">
        <v>6</v>
      </c>
      <c r="G131" s="1" t="s">
        <v>16</v>
      </c>
      <c r="H131" s="1" t="str">
        <f>IF(OR(TRIM(G131)="Yes",TRIM(G131)="YES",TRIM(G131)="Y",TRIM(G131)="yes"),"Yes","No")</f>
        <v>No</v>
      </c>
      <c r="J131" s="1" t="str">
        <f>IF(OR(TRIM(I131)="Yes",TRIM(I131)="YES",TRIM(I131)="Y",TRIM(I131)="yes"),"Yes","No")</f>
        <v>No</v>
      </c>
      <c r="L131" s="1" t="str">
        <f>IF(C131="","Yes","No")</f>
        <v>No</v>
      </c>
      <c r="M131" s="1">
        <f>IF(C131="", "", C131 - B131)</f>
        <v>15</v>
      </c>
      <c r="N131" s="3">
        <f>DATE(YEAR(B131),MONTH(B131),1)</f>
        <v>45689</v>
      </c>
      <c r="O131" s="2">
        <f>DATE(YEAR(B131),MONTH(B131),1)</f>
        <v>45689</v>
      </c>
    </row>
    <row r="132" spans="1:15" x14ac:dyDescent="0.2">
      <c r="A132" s="1" t="s">
        <v>137</v>
      </c>
      <c r="B132" s="3">
        <v>45712</v>
      </c>
      <c r="C132" s="3">
        <v>45730</v>
      </c>
      <c r="D132" s="1" t="s">
        <v>33</v>
      </c>
      <c r="E132" s="1" t="str">
        <f>UPPER(TRIM(D132))</f>
        <v>POLICY UPDATE</v>
      </c>
      <c r="F132" s="1" t="s">
        <v>6</v>
      </c>
      <c r="G132" s="1" t="s">
        <v>16</v>
      </c>
      <c r="H132" s="1" t="str">
        <f>IF(OR(TRIM(G132)="Yes",TRIM(G132)="YES",TRIM(G132)="Y",TRIM(G132)="yes"),"Yes","No")</f>
        <v>No</v>
      </c>
      <c r="I132" s="1" t="s">
        <v>1</v>
      </c>
      <c r="J132" s="1" t="str">
        <f>IF(OR(TRIM(I132)="Yes",TRIM(I132)="YES",TRIM(I132)="Y",TRIM(I132)="yes"),"Yes","No")</f>
        <v>Yes</v>
      </c>
      <c r="K132" s="1" t="s">
        <v>29</v>
      </c>
      <c r="L132" s="1" t="str">
        <f>IF(C132="","Yes","No")</f>
        <v>No</v>
      </c>
      <c r="M132" s="1">
        <f>IF(C132="", "", C132 - B132)</f>
        <v>18</v>
      </c>
      <c r="N132" s="3">
        <f>DATE(YEAR(B132),MONTH(B132),1)</f>
        <v>45689</v>
      </c>
      <c r="O132" s="2">
        <f>DATE(YEAR(B132),MONTH(B132),1)</f>
        <v>45689</v>
      </c>
    </row>
    <row r="133" spans="1:15" x14ac:dyDescent="0.2">
      <c r="A133" s="1" t="s">
        <v>126</v>
      </c>
      <c r="B133" s="3">
        <v>45710</v>
      </c>
      <c r="C133" s="3">
        <v>45713</v>
      </c>
      <c r="D133" s="1" t="s">
        <v>27</v>
      </c>
      <c r="E133" s="1" t="str">
        <f>UPPER(TRIM(D133))</f>
        <v>SERVICE DELAY</v>
      </c>
      <c r="F133" s="1" t="s">
        <v>21</v>
      </c>
      <c r="G133" s="1" t="s">
        <v>47</v>
      </c>
      <c r="H133" s="1" t="str">
        <f>IF(OR(TRIM(G133)="Yes",TRIM(G133)="YES",TRIM(G133)="Y",TRIM(G133)="yes"),"Yes","No")</f>
        <v>Yes</v>
      </c>
      <c r="J133" s="1" t="str">
        <f>IF(OR(TRIM(I133)="Yes",TRIM(I133)="YES",TRIM(I133)="Y",TRIM(I133)="yes"),"Yes","No")</f>
        <v>No</v>
      </c>
      <c r="K133" s="1" t="s">
        <v>5</v>
      </c>
      <c r="L133" s="1" t="str">
        <f>IF(C133="","Yes","No")</f>
        <v>No</v>
      </c>
      <c r="M133" s="1">
        <f>IF(C133="", "", C133 - B133)</f>
        <v>3</v>
      </c>
      <c r="N133" s="3">
        <f>DATE(YEAR(B133),MONTH(B133),1)</f>
        <v>45689</v>
      </c>
      <c r="O133" s="2">
        <f>DATE(YEAR(B133),MONTH(B133),1)</f>
        <v>45689</v>
      </c>
    </row>
    <row r="134" spans="1:15" x14ac:dyDescent="0.2">
      <c r="A134" s="1" t="s">
        <v>224</v>
      </c>
      <c r="B134" s="3">
        <v>45594</v>
      </c>
      <c r="C134" s="3">
        <v>45601</v>
      </c>
      <c r="D134" s="1" t="s">
        <v>44</v>
      </c>
      <c r="E134" s="1" t="str">
        <f>UPPER(TRIM(D134))</f>
        <v>COMMUNICATION DELAY</v>
      </c>
      <c r="F134" s="1" t="s">
        <v>2</v>
      </c>
      <c r="G134" s="1" t="s">
        <v>0</v>
      </c>
      <c r="H134" s="1" t="str">
        <f>IF(OR(TRIM(G134)="Yes",TRIM(G134)="YES",TRIM(G134)="Y",TRIM(G134)="yes"),"Yes","No")</f>
        <v>Yes</v>
      </c>
      <c r="I134" s="1" t="s">
        <v>1</v>
      </c>
      <c r="J134" s="1" t="str">
        <f>IF(OR(TRIM(I134)="Yes",TRIM(I134)="YES",TRIM(I134)="Y",TRIM(I134)="yes"),"Yes","No")</f>
        <v>Yes</v>
      </c>
      <c r="K134" s="1" t="s">
        <v>15</v>
      </c>
      <c r="L134" s="1" t="str">
        <f>IF(C134="","Yes","No")</f>
        <v>No</v>
      </c>
      <c r="M134" s="1">
        <f>IF(C134="", "", C134 - B134)</f>
        <v>7</v>
      </c>
      <c r="N134" s="3">
        <f>DATE(YEAR(B134),MONTH(B134),1)</f>
        <v>45566</v>
      </c>
      <c r="O134" s="2">
        <f>DATE(YEAR(B134),MONTH(B134),1)</f>
        <v>45566</v>
      </c>
    </row>
    <row r="135" spans="1:15" x14ac:dyDescent="0.2">
      <c r="A135" s="1" t="s">
        <v>102</v>
      </c>
      <c r="B135" s="3">
        <v>45745</v>
      </c>
      <c r="C135" s="3">
        <v>45755</v>
      </c>
      <c r="D135" s="1" t="s">
        <v>24</v>
      </c>
      <c r="E135" s="1" t="str">
        <f>UPPER(TRIM(D135))</f>
        <v>BILLING ISSUE</v>
      </c>
      <c r="F135" s="1" t="s">
        <v>6</v>
      </c>
      <c r="H135" s="1" t="str">
        <f>IF(OR(TRIM(G135)="Yes",TRIM(G135)="YES",TRIM(G135)="Y",TRIM(G135)="yes"),"Yes","No")</f>
        <v>No</v>
      </c>
      <c r="I135" s="1" t="s">
        <v>0</v>
      </c>
      <c r="J135" s="1" t="str">
        <f>IF(OR(TRIM(I135)="Yes",TRIM(I135)="YES",TRIM(I135)="Y",TRIM(I135)="yes"),"Yes","No")</f>
        <v>Yes</v>
      </c>
      <c r="L135" s="1" t="str">
        <f>IF(C135="","Yes","No")</f>
        <v>No</v>
      </c>
      <c r="M135" s="1">
        <f>IF(C135="", "", C135 - B135)</f>
        <v>10</v>
      </c>
      <c r="N135" s="3">
        <f>DATE(YEAR(B135),MONTH(B135),1)</f>
        <v>45717</v>
      </c>
      <c r="O135" s="2">
        <f>DATE(YEAR(B135),MONTH(B135),1)</f>
        <v>45717</v>
      </c>
    </row>
    <row r="136" spans="1:15" x14ac:dyDescent="0.2">
      <c r="A136" s="1" t="s">
        <v>48</v>
      </c>
      <c r="B136" s="3">
        <v>45632</v>
      </c>
      <c r="C136" s="3">
        <v>45652</v>
      </c>
      <c r="D136" s="1" t="s">
        <v>10</v>
      </c>
      <c r="E136" s="1" t="str">
        <f>UPPER(TRIM(D136))</f>
        <v>POLICY UPDATE</v>
      </c>
      <c r="F136" s="1" t="s">
        <v>2</v>
      </c>
      <c r="G136" s="1" t="s">
        <v>47</v>
      </c>
      <c r="H136" s="1" t="str">
        <f>IF(OR(TRIM(G136)="Yes",TRIM(G136)="YES",TRIM(G136)="Y",TRIM(G136)="yes"),"Yes","No")</f>
        <v>Yes</v>
      </c>
      <c r="I136" s="1" t="s">
        <v>9</v>
      </c>
      <c r="J136" s="1" t="str">
        <f>IF(OR(TRIM(I136)="Yes",TRIM(I136)="YES",TRIM(I136)="Y",TRIM(I136)="yes"),"Yes","No")</f>
        <v>No</v>
      </c>
      <c r="L136" s="1" t="str">
        <f>IF(C136="","Yes","No")</f>
        <v>No</v>
      </c>
      <c r="M136" s="1">
        <f>IF(C136="", "", C136 - B136)</f>
        <v>20</v>
      </c>
      <c r="N136" s="3">
        <f>DATE(YEAR(B136),MONTH(B136),1)</f>
        <v>45627</v>
      </c>
      <c r="O136" s="2">
        <f>DATE(YEAR(B136),MONTH(B136),1)</f>
        <v>45627</v>
      </c>
    </row>
    <row r="137" spans="1:15" x14ac:dyDescent="0.2">
      <c r="A137" s="1" t="s">
        <v>203</v>
      </c>
      <c r="B137" s="3">
        <v>45612</v>
      </c>
      <c r="C137" s="3">
        <v>45627</v>
      </c>
      <c r="D137" s="1" t="s">
        <v>33</v>
      </c>
      <c r="E137" s="1" t="str">
        <f>UPPER(TRIM(D137))</f>
        <v>POLICY UPDATE</v>
      </c>
      <c r="G137" s="1" t="s">
        <v>9</v>
      </c>
      <c r="H137" s="1" t="str">
        <f>IF(OR(TRIM(G137)="Yes",TRIM(G137)="YES",TRIM(G137)="Y",TRIM(G137)="yes"),"Yes","No")</f>
        <v>No</v>
      </c>
      <c r="I137" s="1" t="s">
        <v>1</v>
      </c>
      <c r="J137" s="1" t="str">
        <f>IF(OR(TRIM(I137)="Yes",TRIM(I137)="YES",TRIM(I137)="Y",TRIM(I137)="yes"),"Yes","No")</f>
        <v>Yes</v>
      </c>
      <c r="K137" s="1" t="s">
        <v>5</v>
      </c>
      <c r="L137" s="1" t="str">
        <f>IF(C137="","Yes","No")</f>
        <v>No</v>
      </c>
      <c r="M137" s="1">
        <f>IF(C137="", "", C137 - B137)</f>
        <v>15</v>
      </c>
      <c r="N137" s="3">
        <f>DATE(YEAR(B137),MONTH(B137),1)</f>
        <v>45597</v>
      </c>
      <c r="O137" s="2">
        <f>DATE(YEAR(B137),MONTH(B137),1)</f>
        <v>45597</v>
      </c>
    </row>
    <row r="138" spans="1:15" x14ac:dyDescent="0.2">
      <c r="A138" s="1" t="s">
        <v>110</v>
      </c>
      <c r="B138" s="3">
        <v>45616</v>
      </c>
      <c r="C138" s="3">
        <v>45623</v>
      </c>
      <c r="D138" s="1" t="s">
        <v>44</v>
      </c>
      <c r="E138" s="1" t="str">
        <f>UPPER(TRIM(D138))</f>
        <v>COMMUNICATION DELAY</v>
      </c>
      <c r="F138" s="1" t="s">
        <v>21</v>
      </c>
      <c r="G138" s="1" t="s">
        <v>12</v>
      </c>
      <c r="H138" s="1" t="str">
        <f>IF(OR(TRIM(G138)="Yes",TRIM(G138)="YES",TRIM(G138)="Y",TRIM(G138)="yes"),"Yes","No")</f>
        <v>No</v>
      </c>
      <c r="I138" s="1" t="s">
        <v>0</v>
      </c>
      <c r="J138" s="1" t="str">
        <f>IF(OR(TRIM(I138)="Yes",TRIM(I138)="YES",TRIM(I138)="Y",TRIM(I138)="yes"),"Yes","No")</f>
        <v>Yes</v>
      </c>
      <c r="L138" s="1" t="str">
        <f>IF(C138="","Yes","No")</f>
        <v>No</v>
      </c>
      <c r="M138" s="1">
        <f>IF(C138="", "", C138 - B138)</f>
        <v>7</v>
      </c>
      <c r="N138" s="3">
        <f>DATE(YEAR(B138),MONTH(B138),1)</f>
        <v>45597</v>
      </c>
      <c r="O138" s="2">
        <f>DATE(YEAR(B138),MONTH(B138),1)</f>
        <v>45597</v>
      </c>
    </row>
    <row r="139" spans="1:15" x14ac:dyDescent="0.2">
      <c r="A139" s="1" t="s">
        <v>236</v>
      </c>
      <c r="B139" s="3">
        <v>45668</v>
      </c>
      <c r="C139" s="3">
        <v>45688</v>
      </c>
      <c r="D139" s="1" t="s">
        <v>24</v>
      </c>
      <c r="E139" s="1" t="str">
        <f>UPPER(TRIM(D139))</f>
        <v>BILLING ISSUE</v>
      </c>
      <c r="G139" s="1" t="s">
        <v>9</v>
      </c>
      <c r="H139" s="1" t="str">
        <f>IF(OR(TRIM(G139)="Yes",TRIM(G139)="YES",TRIM(G139)="Y",TRIM(G139)="yes"),"Yes","No")</f>
        <v>No</v>
      </c>
      <c r="J139" s="1" t="str">
        <f>IF(OR(TRIM(I139)="Yes",TRIM(I139)="YES",TRIM(I139)="Y",TRIM(I139)="yes"),"Yes","No")</f>
        <v>No</v>
      </c>
      <c r="K139" s="1" t="s">
        <v>15</v>
      </c>
      <c r="L139" s="1" t="str">
        <f>IF(C139="","Yes","No")</f>
        <v>No</v>
      </c>
      <c r="M139" s="1">
        <f>IF(C139="", "", C139 - B139)</f>
        <v>20</v>
      </c>
      <c r="N139" s="3">
        <f>DATE(YEAR(B139),MONTH(B139),1)</f>
        <v>45658</v>
      </c>
      <c r="O139" s="2">
        <f>DATE(YEAR(B139),MONTH(B139),1)</f>
        <v>45658</v>
      </c>
    </row>
    <row r="140" spans="1:15" x14ac:dyDescent="0.2">
      <c r="A140" s="1" t="s">
        <v>135</v>
      </c>
      <c r="B140" s="3">
        <v>45667</v>
      </c>
      <c r="C140" s="3">
        <v>45668</v>
      </c>
      <c r="D140" s="1" t="s">
        <v>27</v>
      </c>
      <c r="E140" s="1" t="str">
        <f>UPPER(TRIM(D140))</f>
        <v>SERVICE DELAY</v>
      </c>
      <c r="F140" s="1" t="s">
        <v>6</v>
      </c>
      <c r="G140" s="1" t="s">
        <v>16</v>
      </c>
      <c r="H140" s="1" t="str">
        <f>IF(OR(TRIM(G140)="Yes",TRIM(G140)="YES",TRIM(G140)="Y",TRIM(G140)="yes"),"Yes","No")</f>
        <v>No</v>
      </c>
      <c r="J140" s="1" t="str">
        <f>IF(OR(TRIM(I140)="Yes",TRIM(I140)="YES",TRIM(I140)="Y",TRIM(I140)="yes"),"Yes","No")</f>
        <v>No</v>
      </c>
      <c r="K140" s="1" t="s">
        <v>15</v>
      </c>
      <c r="L140" s="1" t="str">
        <f>IF(C140="","Yes","No")</f>
        <v>No</v>
      </c>
      <c r="M140" s="1">
        <f>IF(C140="", "", C140 - B140)</f>
        <v>1</v>
      </c>
      <c r="N140" s="3">
        <f>DATE(YEAR(B140),MONTH(B140),1)</f>
        <v>45658</v>
      </c>
      <c r="O140" s="2">
        <f>DATE(YEAR(B140),MONTH(B140),1)</f>
        <v>45658</v>
      </c>
    </row>
    <row r="141" spans="1:15" x14ac:dyDescent="0.2">
      <c r="A141" s="1" t="s">
        <v>235</v>
      </c>
      <c r="B141" s="3">
        <v>45660</v>
      </c>
      <c r="C141" s="3">
        <v>45670</v>
      </c>
      <c r="D141" s="1" t="s">
        <v>10</v>
      </c>
      <c r="E141" s="1" t="str">
        <f>UPPER(TRIM(D141))</f>
        <v>POLICY UPDATE</v>
      </c>
      <c r="F141" s="1" t="s">
        <v>6</v>
      </c>
      <c r="G141" s="1" t="s">
        <v>9</v>
      </c>
      <c r="H141" s="1" t="str">
        <f>IF(OR(TRIM(G141)="Yes",TRIM(G141)="YES",TRIM(G141)="Y",TRIM(G141)="yes"),"Yes","No")</f>
        <v>No</v>
      </c>
      <c r="J141" s="1" t="str">
        <f>IF(OR(TRIM(I141)="Yes",TRIM(I141)="YES",TRIM(I141)="Y",TRIM(I141)="yes"),"Yes","No")</f>
        <v>No</v>
      </c>
      <c r="L141" s="1" t="str">
        <f>IF(C141="","Yes","No")</f>
        <v>No</v>
      </c>
      <c r="M141" s="1">
        <f>IF(C141="", "", C141 - B141)</f>
        <v>10</v>
      </c>
      <c r="N141" s="3">
        <f>DATE(YEAR(B141),MONTH(B141),1)</f>
        <v>45658</v>
      </c>
      <c r="O141" s="2">
        <f>DATE(YEAR(B141),MONTH(B141),1)</f>
        <v>45658</v>
      </c>
    </row>
    <row r="142" spans="1:15" x14ac:dyDescent="0.2">
      <c r="A142" s="1" t="s">
        <v>231</v>
      </c>
      <c r="B142" s="3">
        <v>45720</v>
      </c>
      <c r="C142" s="3">
        <v>45739</v>
      </c>
      <c r="D142" s="1" t="s">
        <v>33</v>
      </c>
      <c r="E142" s="1" t="str">
        <f>UPPER(TRIM(D142))</f>
        <v>POLICY UPDATE</v>
      </c>
      <c r="H142" s="1" t="str">
        <f>IF(OR(TRIM(G142)="Yes",TRIM(G142)="YES",TRIM(G142)="Y",TRIM(G142)="yes"),"Yes","No")</f>
        <v>No</v>
      </c>
      <c r="I142" s="1" t="s">
        <v>1</v>
      </c>
      <c r="J142" s="1" t="str">
        <f>IF(OR(TRIM(I142)="Yes",TRIM(I142)="YES",TRIM(I142)="Y",TRIM(I142)="yes"),"Yes","No")</f>
        <v>Yes</v>
      </c>
      <c r="K142" s="1" t="s">
        <v>15</v>
      </c>
      <c r="L142" s="1" t="str">
        <f>IF(C142="","Yes","No")</f>
        <v>No</v>
      </c>
      <c r="M142" s="1">
        <f>IF(C142="", "", C142 - B142)</f>
        <v>19</v>
      </c>
      <c r="N142" s="3">
        <f>DATE(YEAR(B142),MONTH(B142),1)</f>
        <v>45717</v>
      </c>
      <c r="O142" s="2">
        <f>DATE(YEAR(B142),MONTH(B142),1)</f>
        <v>45717</v>
      </c>
    </row>
    <row r="143" spans="1:15" x14ac:dyDescent="0.2">
      <c r="A143" s="1" t="s">
        <v>190</v>
      </c>
      <c r="B143" s="3">
        <v>45570</v>
      </c>
      <c r="C143" s="3">
        <v>45571</v>
      </c>
      <c r="D143" s="1" t="s">
        <v>10</v>
      </c>
      <c r="E143" s="1" t="str">
        <f>UPPER(TRIM(D143))</f>
        <v>POLICY UPDATE</v>
      </c>
      <c r="G143" s="1" t="s">
        <v>1</v>
      </c>
      <c r="H143" s="1" t="str">
        <f>IF(OR(TRIM(G143)="Yes",TRIM(G143)="YES",TRIM(G143)="Y",TRIM(G143)="yes"),"Yes","No")</f>
        <v>Yes</v>
      </c>
      <c r="I143" s="1" t="s">
        <v>9</v>
      </c>
      <c r="J143" s="1" t="str">
        <f>IF(OR(TRIM(I143)="Yes",TRIM(I143)="YES",TRIM(I143)="Y",TRIM(I143)="yes"),"Yes","No")</f>
        <v>No</v>
      </c>
      <c r="L143" s="1" t="str">
        <f>IF(C143="","Yes","No")</f>
        <v>No</v>
      </c>
      <c r="M143" s="1">
        <f>IF(C143="", "", C143 - B143)</f>
        <v>1</v>
      </c>
      <c r="N143" s="3">
        <f>DATE(YEAR(B143),MONTH(B143),1)</f>
        <v>45566</v>
      </c>
      <c r="O143" s="2">
        <f>DATE(YEAR(B143),MONTH(B143),1)</f>
        <v>45566</v>
      </c>
    </row>
    <row r="144" spans="1:15" x14ac:dyDescent="0.2">
      <c r="A144" s="1" t="s">
        <v>159</v>
      </c>
      <c r="B144" s="3">
        <v>45576</v>
      </c>
      <c r="C144" s="3">
        <v>45586</v>
      </c>
      <c r="D144" s="1" t="s">
        <v>7</v>
      </c>
      <c r="E144" s="1" t="str">
        <f>UPPER(TRIM(D144))</f>
        <v>BILLING ISSUE</v>
      </c>
      <c r="G144" s="1" t="s">
        <v>12</v>
      </c>
      <c r="H144" s="1" t="str">
        <f>IF(OR(TRIM(G144)="Yes",TRIM(G144)="YES",TRIM(G144)="Y",TRIM(G144)="yes"),"Yes","No")</f>
        <v>No</v>
      </c>
      <c r="I144" s="1" t="s">
        <v>0</v>
      </c>
      <c r="J144" s="1" t="str">
        <f>IF(OR(TRIM(I144)="Yes",TRIM(I144)="YES",TRIM(I144)="Y",TRIM(I144)="yes"),"Yes","No")</f>
        <v>Yes</v>
      </c>
      <c r="L144" s="1" t="str">
        <f>IF(C144="","Yes","No")</f>
        <v>No</v>
      </c>
      <c r="M144" s="1">
        <f>IF(C144="", "", C144 - B144)</f>
        <v>10</v>
      </c>
      <c r="N144" s="3">
        <f>DATE(YEAR(B144),MONTH(B144),1)</f>
        <v>45566</v>
      </c>
      <c r="O144" s="2">
        <f>DATE(YEAR(B144),MONTH(B144),1)</f>
        <v>45566</v>
      </c>
    </row>
    <row r="145" spans="1:15" x14ac:dyDescent="0.2">
      <c r="A145" s="1" t="s">
        <v>152</v>
      </c>
      <c r="B145" s="3">
        <v>45765</v>
      </c>
      <c r="D145" s="1" t="s">
        <v>10</v>
      </c>
      <c r="E145" s="1" t="str">
        <f>UPPER(TRIM(D145))</f>
        <v>POLICY UPDATE</v>
      </c>
      <c r="F145" s="1" t="s">
        <v>2</v>
      </c>
      <c r="G145" s="1" t="s">
        <v>47</v>
      </c>
      <c r="H145" s="1" t="str">
        <f>IF(OR(TRIM(G145)="Yes",TRIM(G145)="YES",TRIM(G145)="Y",TRIM(G145)="yes"),"Yes","No")</f>
        <v>Yes</v>
      </c>
      <c r="I145" s="1" t="s">
        <v>16</v>
      </c>
      <c r="J145" s="1" t="str">
        <f>IF(OR(TRIM(I145)="Yes",TRIM(I145)="YES",TRIM(I145)="Y",TRIM(I145)="yes"),"Yes","No")</f>
        <v>No</v>
      </c>
      <c r="L145" s="1" t="str">
        <f>IF(C145="","Yes","No")</f>
        <v>Yes</v>
      </c>
      <c r="M145" s="1" t="str">
        <f>IF(C145="", "", C145 - B145)</f>
        <v/>
      </c>
      <c r="N145" s="3">
        <f>DATE(YEAR(B145),MONTH(B145),1)</f>
        <v>45748</v>
      </c>
      <c r="O145" s="2">
        <f>DATE(YEAR(B145),MONTH(B145),1)</f>
        <v>45748</v>
      </c>
    </row>
    <row r="146" spans="1:15" x14ac:dyDescent="0.2">
      <c r="A146" s="1" t="s">
        <v>234</v>
      </c>
      <c r="B146" s="3">
        <v>45760</v>
      </c>
      <c r="C146" s="3">
        <v>45768</v>
      </c>
      <c r="D146" s="1" t="s">
        <v>3</v>
      </c>
      <c r="E146" s="1" t="str">
        <f>UPPER(TRIM(D146))</f>
        <v>COMMUNICATION DELAY</v>
      </c>
      <c r="G146" s="1" t="s">
        <v>47</v>
      </c>
      <c r="H146" s="1" t="str">
        <f>IF(OR(TRIM(G146)="Yes",TRIM(G146)="YES",TRIM(G146)="Y",TRIM(G146)="yes"),"Yes","No")</f>
        <v>Yes</v>
      </c>
      <c r="J146" s="1" t="str">
        <f>IF(OR(TRIM(I146)="Yes",TRIM(I146)="YES",TRIM(I146)="Y",TRIM(I146)="yes"),"Yes","No")</f>
        <v>No</v>
      </c>
      <c r="K146" s="1" t="s">
        <v>5</v>
      </c>
      <c r="L146" s="1" t="str">
        <f>IF(C146="","Yes","No")</f>
        <v>No</v>
      </c>
      <c r="M146" s="1">
        <f>IF(C146="", "", C146 - B146)</f>
        <v>8</v>
      </c>
      <c r="N146" s="3">
        <f>DATE(YEAR(B146),MONTH(B146),1)</f>
        <v>45748</v>
      </c>
      <c r="O146" s="2">
        <f>DATE(YEAR(B146),MONTH(B146),1)</f>
        <v>45748</v>
      </c>
    </row>
    <row r="147" spans="1:15" x14ac:dyDescent="0.2">
      <c r="A147" s="1" t="s">
        <v>182</v>
      </c>
      <c r="B147" s="3">
        <v>45723</v>
      </c>
      <c r="C147" s="3">
        <v>45735</v>
      </c>
      <c r="D147" s="1" t="s">
        <v>44</v>
      </c>
      <c r="E147" s="1" t="str">
        <f>UPPER(TRIM(D147))</f>
        <v>COMMUNICATION DELAY</v>
      </c>
      <c r="F147" s="1" t="s">
        <v>18</v>
      </c>
      <c r="H147" s="1" t="str">
        <f>IF(OR(TRIM(G147)="Yes",TRIM(G147)="YES",TRIM(G147)="Y",TRIM(G147)="yes"),"Yes","No")</f>
        <v>No</v>
      </c>
      <c r="I147" s="1" t="s">
        <v>9</v>
      </c>
      <c r="J147" s="1" t="str">
        <f>IF(OR(TRIM(I147)="Yes",TRIM(I147)="YES",TRIM(I147)="Y",TRIM(I147)="yes"),"Yes","No")</f>
        <v>No</v>
      </c>
      <c r="K147" s="1" t="s">
        <v>29</v>
      </c>
      <c r="L147" s="1" t="str">
        <f>IF(C147="","Yes","No")</f>
        <v>No</v>
      </c>
      <c r="M147" s="1">
        <f>IF(C147="", "", C147 - B147)</f>
        <v>12</v>
      </c>
      <c r="N147" s="3">
        <f>DATE(YEAR(B147),MONTH(B147),1)</f>
        <v>45717</v>
      </c>
      <c r="O147" s="2">
        <f>DATE(YEAR(B147),MONTH(B147),1)</f>
        <v>45717</v>
      </c>
    </row>
    <row r="148" spans="1:15" x14ac:dyDescent="0.2">
      <c r="A148" s="1" t="s">
        <v>39</v>
      </c>
      <c r="B148" s="3">
        <v>45759</v>
      </c>
      <c r="C148" s="3">
        <v>45763</v>
      </c>
      <c r="D148" s="1" t="s">
        <v>7</v>
      </c>
      <c r="E148" s="1" t="str">
        <f>UPPER(TRIM(D148))</f>
        <v>BILLING ISSUE</v>
      </c>
      <c r="F148" s="1" t="s">
        <v>21</v>
      </c>
      <c r="G148" s="1" t="s">
        <v>9</v>
      </c>
      <c r="H148" s="1" t="str">
        <f>IF(OR(TRIM(G148)="Yes",TRIM(G148)="YES",TRIM(G148)="Y",TRIM(G148)="yes"),"Yes","No")</f>
        <v>No</v>
      </c>
      <c r="J148" s="1" t="str">
        <f>IF(OR(TRIM(I148)="Yes",TRIM(I148)="YES",TRIM(I148)="Y",TRIM(I148)="yes"),"Yes","No")</f>
        <v>No</v>
      </c>
      <c r="K148" s="1" t="s">
        <v>29</v>
      </c>
      <c r="L148" s="1" t="str">
        <f>IF(C148="","Yes","No")</f>
        <v>No</v>
      </c>
      <c r="M148" s="1">
        <f>IF(C148="", "", C148 - B148)</f>
        <v>4</v>
      </c>
      <c r="N148" s="3">
        <f>DATE(YEAR(B148),MONTH(B148),1)</f>
        <v>45748</v>
      </c>
      <c r="O148" s="2">
        <f>DATE(YEAR(B148),MONTH(B148),1)</f>
        <v>45748</v>
      </c>
    </row>
    <row r="149" spans="1:15" x14ac:dyDescent="0.2">
      <c r="A149" s="1" t="s">
        <v>101</v>
      </c>
      <c r="B149" s="3">
        <v>45623</v>
      </c>
      <c r="C149" s="3">
        <v>45625</v>
      </c>
      <c r="D149" s="1" t="s">
        <v>19</v>
      </c>
      <c r="E149" s="1" t="str">
        <f>UPPER(TRIM(D149))</f>
        <v>DOC ERROR</v>
      </c>
      <c r="F149" s="1" t="s">
        <v>6</v>
      </c>
      <c r="G149" s="1" t="s">
        <v>47</v>
      </c>
      <c r="H149" s="1" t="str">
        <f>IF(OR(TRIM(G149)="Yes",TRIM(G149)="YES",TRIM(G149)="Y",TRIM(G149)="yes"),"Yes","No")</f>
        <v>Yes</v>
      </c>
      <c r="I149" s="1" t="s">
        <v>16</v>
      </c>
      <c r="J149" s="1" t="str">
        <f>IF(OR(TRIM(I149)="Yes",TRIM(I149)="YES",TRIM(I149)="Y",TRIM(I149)="yes"),"Yes","No")</f>
        <v>No</v>
      </c>
      <c r="K149" s="1" t="s">
        <v>5</v>
      </c>
      <c r="L149" s="1" t="str">
        <f>IF(C149="","Yes","No")</f>
        <v>No</v>
      </c>
      <c r="M149" s="1">
        <f>IF(C149="", "", C149 - B149)</f>
        <v>2</v>
      </c>
      <c r="N149" s="3">
        <f>DATE(YEAR(B149),MONTH(B149),1)</f>
        <v>45597</v>
      </c>
      <c r="O149" s="2">
        <f>DATE(YEAR(B149),MONTH(B149),1)</f>
        <v>45597</v>
      </c>
    </row>
    <row r="150" spans="1:15" x14ac:dyDescent="0.2">
      <c r="A150" s="1" t="s">
        <v>186</v>
      </c>
      <c r="B150" s="3">
        <v>45757</v>
      </c>
      <c r="D150" s="1" t="s">
        <v>10</v>
      </c>
      <c r="E150" s="1" t="str">
        <f>UPPER(TRIM(D150))</f>
        <v>POLICY UPDATE</v>
      </c>
      <c r="F150" s="1" t="s">
        <v>6</v>
      </c>
      <c r="H150" s="1" t="str">
        <f>IF(OR(TRIM(G150)="Yes",TRIM(G150)="YES",TRIM(G150)="Y",TRIM(G150)="yes"),"Yes","No")</f>
        <v>No</v>
      </c>
      <c r="I150" s="1" t="s">
        <v>9</v>
      </c>
      <c r="J150" s="1" t="str">
        <f>IF(OR(TRIM(I150)="Yes",TRIM(I150)="YES",TRIM(I150)="Y",TRIM(I150)="yes"),"Yes","No")</f>
        <v>No</v>
      </c>
      <c r="L150" s="1" t="str">
        <f>IF(C150="","Yes","No")</f>
        <v>Yes</v>
      </c>
      <c r="M150" s="1" t="str">
        <f>IF(C150="", "", C150 - B150)</f>
        <v/>
      </c>
      <c r="N150" s="3">
        <f>DATE(YEAR(B150),MONTH(B150),1)</f>
        <v>45748</v>
      </c>
      <c r="O150" s="2">
        <f>DATE(YEAR(B150),MONTH(B150),1)</f>
        <v>45748</v>
      </c>
    </row>
    <row r="151" spans="1:15" x14ac:dyDescent="0.2">
      <c r="A151" s="1" t="s">
        <v>96</v>
      </c>
      <c r="B151" s="3">
        <v>45678</v>
      </c>
      <c r="C151" s="3">
        <v>45685</v>
      </c>
      <c r="D151" s="1" t="s">
        <v>35</v>
      </c>
      <c r="E151" s="1" t="str">
        <f>UPPER(TRIM(D151))</f>
        <v>DOCUMENTATION ERROR</v>
      </c>
      <c r="F151" s="1" t="s">
        <v>18</v>
      </c>
      <c r="G151" s="1" t="s">
        <v>12</v>
      </c>
      <c r="H151" s="1" t="str">
        <f>IF(OR(TRIM(G151)="Yes",TRIM(G151)="YES",TRIM(G151)="Y",TRIM(G151)="yes"),"Yes","No")</f>
        <v>No</v>
      </c>
      <c r="I151" s="1" t="s">
        <v>16</v>
      </c>
      <c r="J151" s="1" t="str">
        <f>IF(OR(TRIM(I151)="Yes",TRIM(I151)="YES",TRIM(I151)="Y",TRIM(I151)="yes"),"Yes","No")</f>
        <v>No</v>
      </c>
      <c r="K151" s="1" t="s">
        <v>5</v>
      </c>
      <c r="L151" s="1" t="str">
        <f>IF(C151="","Yes","No")</f>
        <v>No</v>
      </c>
      <c r="M151" s="1">
        <f>IF(C151="", "", C151 - B151)</f>
        <v>7</v>
      </c>
      <c r="N151" s="3">
        <f>DATE(YEAR(B151),MONTH(B151),1)</f>
        <v>45658</v>
      </c>
      <c r="O151" s="2">
        <f>DATE(YEAR(B151),MONTH(B151),1)</f>
        <v>45658</v>
      </c>
    </row>
    <row r="152" spans="1:15" x14ac:dyDescent="0.2">
      <c r="A152" s="1" t="s">
        <v>233</v>
      </c>
      <c r="B152" s="3">
        <v>45669</v>
      </c>
      <c r="C152" s="3">
        <v>45683</v>
      </c>
      <c r="D152" s="1" t="s">
        <v>7</v>
      </c>
      <c r="E152" s="1" t="str">
        <f>UPPER(TRIM(D152))</f>
        <v>BILLING ISSUE</v>
      </c>
      <c r="G152" s="1" t="s">
        <v>0</v>
      </c>
      <c r="H152" s="1" t="str">
        <f>IF(OR(TRIM(G152)="Yes",TRIM(G152)="YES",TRIM(G152)="Y",TRIM(G152)="yes"),"Yes","No")</f>
        <v>Yes</v>
      </c>
      <c r="I152" s="1" t="s">
        <v>9</v>
      </c>
      <c r="J152" s="1" t="str">
        <f>IF(OR(TRIM(I152)="Yes",TRIM(I152)="YES",TRIM(I152)="Y",TRIM(I152)="yes"),"Yes","No")</f>
        <v>No</v>
      </c>
      <c r="L152" s="1" t="str">
        <f>IF(C152="","Yes","No")</f>
        <v>No</v>
      </c>
      <c r="M152" s="1">
        <f>IF(C152="", "", C152 - B152)</f>
        <v>14</v>
      </c>
      <c r="N152" s="3">
        <f>DATE(YEAR(B152),MONTH(B152),1)</f>
        <v>45658</v>
      </c>
      <c r="O152" s="2">
        <f>DATE(YEAR(B152),MONTH(B152),1)</f>
        <v>45658</v>
      </c>
    </row>
    <row r="153" spans="1:15" x14ac:dyDescent="0.2">
      <c r="A153" s="1" t="s">
        <v>58</v>
      </c>
      <c r="B153" s="3">
        <v>45755</v>
      </c>
      <c r="C153" s="3">
        <v>45763</v>
      </c>
      <c r="D153" s="1" t="s">
        <v>33</v>
      </c>
      <c r="E153" s="1" t="str">
        <f>UPPER(TRIM(D153))</f>
        <v>POLICY UPDATE</v>
      </c>
      <c r="G153" s="1" t="s">
        <v>12</v>
      </c>
      <c r="H153" s="1" t="str">
        <f>IF(OR(TRIM(G153)="Yes",TRIM(G153)="YES",TRIM(G153)="Y",TRIM(G153)="yes"),"Yes","No")</f>
        <v>No</v>
      </c>
      <c r="I153" s="1" t="s">
        <v>9</v>
      </c>
      <c r="J153" s="1" t="str">
        <f>IF(OR(TRIM(I153)="Yes",TRIM(I153)="YES",TRIM(I153)="Y",TRIM(I153)="yes"),"Yes","No")</f>
        <v>No</v>
      </c>
      <c r="K153" s="1" t="s">
        <v>5</v>
      </c>
      <c r="L153" s="1" t="str">
        <f>IF(C153="","Yes","No")</f>
        <v>No</v>
      </c>
      <c r="M153" s="1">
        <f>IF(C153="", "", C153 - B153)</f>
        <v>8</v>
      </c>
      <c r="N153" s="3">
        <f>DATE(YEAR(B153),MONTH(B153),1)</f>
        <v>45748</v>
      </c>
      <c r="O153" s="2">
        <f>DATE(YEAR(B153),MONTH(B153),1)</f>
        <v>45748</v>
      </c>
    </row>
    <row r="154" spans="1:15" x14ac:dyDescent="0.2">
      <c r="A154" s="1" t="s">
        <v>93</v>
      </c>
      <c r="B154" s="3">
        <v>45705</v>
      </c>
      <c r="C154" s="3">
        <v>45718</v>
      </c>
      <c r="D154" s="1" t="s">
        <v>35</v>
      </c>
      <c r="E154" s="1" t="str">
        <f>UPPER(TRIM(D154))</f>
        <v>DOCUMENTATION ERROR</v>
      </c>
      <c r="G154" s="1" t="s">
        <v>16</v>
      </c>
      <c r="H154" s="1" t="str">
        <f>IF(OR(TRIM(G154)="Yes",TRIM(G154)="YES",TRIM(G154)="Y",TRIM(G154)="yes"),"Yes","No")</f>
        <v>No</v>
      </c>
      <c r="I154" s="1" t="s">
        <v>0</v>
      </c>
      <c r="J154" s="1" t="str">
        <f>IF(OR(TRIM(I154)="Yes",TRIM(I154)="YES",TRIM(I154)="Y",TRIM(I154)="yes"),"Yes","No")</f>
        <v>Yes</v>
      </c>
      <c r="K154" s="1" t="s">
        <v>15</v>
      </c>
      <c r="L154" s="1" t="str">
        <f>IF(C154="","Yes","No")</f>
        <v>No</v>
      </c>
      <c r="M154" s="1">
        <f>IF(C154="", "", C154 - B154)</f>
        <v>13</v>
      </c>
      <c r="N154" s="3">
        <f>DATE(YEAR(B154),MONTH(B154),1)</f>
        <v>45689</v>
      </c>
      <c r="O154" s="2">
        <f>DATE(YEAR(B154),MONTH(B154),1)</f>
        <v>45689</v>
      </c>
    </row>
    <row r="155" spans="1:15" x14ac:dyDescent="0.2">
      <c r="A155" s="1" t="s">
        <v>104</v>
      </c>
      <c r="B155" s="3">
        <v>45727</v>
      </c>
      <c r="C155" s="3">
        <v>45741</v>
      </c>
      <c r="D155" s="1" t="s">
        <v>24</v>
      </c>
      <c r="E155" s="1" t="str">
        <f>UPPER(TRIM(D155))</f>
        <v>BILLING ISSUE</v>
      </c>
      <c r="F155" s="1" t="s">
        <v>18</v>
      </c>
      <c r="H155" s="1" t="str">
        <f>IF(OR(TRIM(G155)="Yes",TRIM(G155)="YES",TRIM(G155)="Y",TRIM(G155)="yes"),"Yes","No")</f>
        <v>No</v>
      </c>
      <c r="I155" s="1" t="s">
        <v>9</v>
      </c>
      <c r="J155" s="1" t="str">
        <f>IF(OR(TRIM(I155)="Yes",TRIM(I155)="YES",TRIM(I155)="Y",TRIM(I155)="yes"),"Yes","No")</f>
        <v>No</v>
      </c>
      <c r="K155" s="1" t="s">
        <v>15</v>
      </c>
      <c r="L155" s="1" t="str">
        <f>IF(C155="","Yes","No")</f>
        <v>No</v>
      </c>
      <c r="M155" s="1">
        <f>IF(C155="", "", C155 - B155)</f>
        <v>14</v>
      </c>
      <c r="N155" s="3">
        <f>DATE(YEAR(B155),MONTH(B155),1)</f>
        <v>45717</v>
      </c>
      <c r="O155" s="2">
        <f>DATE(YEAR(B155),MONTH(B155),1)</f>
        <v>45717</v>
      </c>
    </row>
    <row r="156" spans="1:15" x14ac:dyDescent="0.2">
      <c r="A156" s="1" t="s">
        <v>226</v>
      </c>
      <c r="B156" s="3">
        <v>45730</v>
      </c>
      <c r="C156" s="3">
        <v>45738</v>
      </c>
      <c r="D156" s="1" t="s">
        <v>22</v>
      </c>
      <c r="E156" s="1" t="str">
        <f>UPPER(TRIM(D156))</f>
        <v>BILLING ISSUE</v>
      </c>
      <c r="F156" s="1" t="s">
        <v>18</v>
      </c>
      <c r="G156" s="1" t="s">
        <v>9</v>
      </c>
      <c r="H156" s="1" t="str">
        <f>IF(OR(TRIM(G156)="Yes",TRIM(G156)="YES",TRIM(G156)="Y",TRIM(G156)="yes"),"Yes","No")</f>
        <v>No</v>
      </c>
      <c r="J156" s="1" t="str">
        <f>IF(OR(TRIM(I156)="Yes",TRIM(I156)="YES",TRIM(I156)="Y",TRIM(I156)="yes"),"Yes","No")</f>
        <v>No</v>
      </c>
      <c r="L156" s="1" t="str">
        <f>IF(C156="","Yes","No")</f>
        <v>No</v>
      </c>
      <c r="M156" s="1">
        <f>IF(C156="", "", C156 - B156)</f>
        <v>8</v>
      </c>
      <c r="N156" s="3">
        <f>DATE(YEAR(B156),MONTH(B156),1)</f>
        <v>45717</v>
      </c>
      <c r="O156" s="2">
        <f>DATE(YEAR(B156),MONTH(B156),1)</f>
        <v>45717</v>
      </c>
    </row>
    <row r="157" spans="1:15" x14ac:dyDescent="0.2">
      <c r="A157" s="1" t="s">
        <v>213</v>
      </c>
      <c r="B157" s="3">
        <v>45727</v>
      </c>
      <c r="C157" s="3">
        <v>45738</v>
      </c>
      <c r="D157" s="1" t="s">
        <v>10</v>
      </c>
      <c r="E157" s="1" t="str">
        <f>UPPER(TRIM(D157))</f>
        <v>POLICY UPDATE</v>
      </c>
      <c r="F157" s="1" t="s">
        <v>2</v>
      </c>
      <c r="G157" s="1" t="s">
        <v>16</v>
      </c>
      <c r="H157" s="1" t="str">
        <f>IF(OR(TRIM(G157)="Yes",TRIM(G157)="YES",TRIM(G157)="Y",TRIM(G157)="yes"),"Yes","No")</f>
        <v>No</v>
      </c>
      <c r="I157" s="1" t="s">
        <v>0</v>
      </c>
      <c r="J157" s="1" t="str">
        <f>IF(OR(TRIM(I157)="Yes",TRIM(I157)="YES",TRIM(I157)="Y",TRIM(I157)="yes"),"Yes","No")</f>
        <v>Yes</v>
      </c>
      <c r="K157" s="1" t="s">
        <v>5</v>
      </c>
      <c r="L157" s="1" t="str">
        <f>IF(C157="","Yes","No")</f>
        <v>No</v>
      </c>
      <c r="M157" s="1">
        <f>IF(C157="", "", C157 - B157)</f>
        <v>11</v>
      </c>
      <c r="N157" s="3">
        <f>DATE(YEAR(B157),MONTH(B157),1)</f>
        <v>45717</v>
      </c>
      <c r="O157" s="2">
        <f>DATE(YEAR(B157),MONTH(B157),1)</f>
        <v>45717</v>
      </c>
    </row>
    <row r="158" spans="1:15" x14ac:dyDescent="0.2">
      <c r="A158" s="1" t="s">
        <v>88</v>
      </c>
      <c r="B158" s="3">
        <v>45609</v>
      </c>
      <c r="C158" s="3">
        <v>45618</v>
      </c>
      <c r="D158" s="1" t="s">
        <v>33</v>
      </c>
      <c r="E158" s="1" t="str">
        <f>UPPER(TRIM(D158))</f>
        <v>POLICY UPDATE</v>
      </c>
      <c r="G158" s="1" t="s">
        <v>12</v>
      </c>
      <c r="H158" s="1" t="str">
        <f>IF(OR(TRIM(G158)="Yes",TRIM(G158)="YES",TRIM(G158)="Y",TRIM(G158)="yes"),"Yes","No")</f>
        <v>No</v>
      </c>
      <c r="I158" s="1" t="s">
        <v>0</v>
      </c>
      <c r="J158" s="1" t="str">
        <f>IF(OR(TRIM(I158)="Yes",TRIM(I158)="YES",TRIM(I158)="Y",TRIM(I158)="yes"),"Yes","No")</f>
        <v>Yes</v>
      </c>
      <c r="L158" s="1" t="str">
        <f>IF(C158="","Yes","No")</f>
        <v>No</v>
      </c>
      <c r="M158" s="1">
        <f>IF(C158="", "", C158 - B158)</f>
        <v>9</v>
      </c>
      <c r="N158" s="3">
        <f>DATE(YEAR(B158),MONTH(B158),1)</f>
        <v>45597</v>
      </c>
      <c r="O158" s="2">
        <f>DATE(YEAR(B158),MONTH(B158),1)</f>
        <v>45597</v>
      </c>
    </row>
    <row r="159" spans="1:15" x14ac:dyDescent="0.2">
      <c r="A159" s="1" t="s">
        <v>215</v>
      </c>
      <c r="B159" s="3">
        <v>45626</v>
      </c>
      <c r="C159" s="3">
        <v>45646</v>
      </c>
      <c r="D159" s="1" t="s">
        <v>35</v>
      </c>
      <c r="E159" s="1" t="str">
        <f>UPPER(TRIM(D159))</f>
        <v>DOCUMENTATION ERROR</v>
      </c>
      <c r="F159" s="1" t="s">
        <v>6</v>
      </c>
      <c r="G159" s="1" t="s">
        <v>1</v>
      </c>
      <c r="H159" s="1" t="str">
        <f>IF(OR(TRIM(G159)="Yes",TRIM(G159)="YES",TRIM(G159)="Y",TRIM(G159)="yes"),"Yes","No")</f>
        <v>Yes</v>
      </c>
      <c r="J159" s="1" t="str">
        <f>IF(OR(TRIM(I159)="Yes",TRIM(I159)="YES",TRIM(I159)="Y",TRIM(I159)="yes"),"Yes","No")</f>
        <v>No</v>
      </c>
      <c r="L159" s="1" t="str">
        <f>IF(C159="","Yes","No")</f>
        <v>No</v>
      </c>
      <c r="M159" s="1">
        <f>IF(C159="", "", C159 - B159)</f>
        <v>20</v>
      </c>
      <c r="N159" s="3">
        <f>DATE(YEAR(B159),MONTH(B159),1)</f>
        <v>45597</v>
      </c>
      <c r="O159" s="2">
        <f>DATE(YEAR(B159),MONTH(B159),1)</f>
        <v>45597</v>
      </c>
    </row>
    <row r="160" spans="1:15" x14ac:dyDescent="0.2">
      <c r="A160" s="1" t="s">
        <v>63</v>
      </c>
      <c r="B160" s="3">
        <v>45586</v>
      </c>
      <c r="C160" s="3">
        <v>45596</v>
      </c>
      <c r="D160" s="1" t="s">
        <v>3</v>
      </c>
      <c r="E160" s="1" t="str">
        <f>UPPER(TRIM(D160))</f>
        <v>COMMUNICATION DELAY</v>
      </c>
      <c r="F160" s="1" t="s">
        <v>6</v>
      </c>
      <c r="H160" s="1" t="str">
        <f>IF(OR(TRIM(G160)="Yes",TRIM(G160)="YES",TRIM(G160)="Y",TRIM(G160)="yes"),"Yes","No")</f>
        <v>No</v>
      </c>
      <c r="I160" s="1" t="s">
        <v>9</v>
      </c>
      <c r="J160" s="1" t="str">
        <f>IF(OR(TRIM(I160)="Yes",TRIM(I160)="YES",TRIM(I160)="Y",TRIM(I160)="yes"),"Yes","No")</f>
        <v>No</v>
      </c>
      <c r="L160" s="1" t="str">
        <f>IF(C160="","Yes","No")</f>
        <v>No</v>
      </c>
      <c r="M160" s="1">
        <f>IF(C160="", "", C160 - B160)</f>
        <v>10</v>
      </c>
      <c r="N160" s="3">
        <f>DATE(YEAR(B160),MONTH(B160),1)</f>
        <v>45566</v>
      </c>
      <c r="O160" s="2">
        <f>DATE(YEAR(B160),MONTH(B160),1)</f>
        <v>45566</v>
      </c>
    </row>
    <row r="161" spans="1:15" x14ac:dyDescent="0.2">
      <c r="A161" s="1" t="s">
        <v>232</v>
      </c>
      <c r="B161" s="3">
        <v>45584</v>
      </c>
      <c r="C161" s="3">
        <v>45587</v>
      </c>
      <c r="D161" s="1" t="s">
        <v>24</v>
      </c>
      <c r="E161" s="1" t="str">
        <f>UPPER(TRIM(D161))</f>
        <v>BILLING ISSUE</v>
      </c>
      <c r="F161" s="1" t="s">
        <v>21</v>
      </c>
      <c r="H161" s="1" t="str">
        <f>IF(OR(TRIM(G161)="Yes",TRIM(G161)="YES",TRIM(G161)="Y",TRIM(G161)="yes"),"Yes","No")</f>
        <v>No</v>
      </c>
      <c r="I161" s="1" t="s">
        <v>0</v>
      </c>
      <c r="J161" s="1" t="str">
        <f>IF(OR(TRIM(I161)="Yes",TRIM(I161)="YES",TRIM(I161)="Y",TRIM(I161)="yes"),"Yes","No")</f>
        <v>Yes</v>
      </c>
      <c r="L161" s="1" t="str">
        <f>IF(C161="","Yes","No")</f>
        <v>No</v>
      </c>
      <c r="M161" s="1">
        <f>IF(C161="", "", C161 - B161)</f>
        <v>3</v>
      </c>
      <c r="N161" s="3">
        <f>DATE(YEAR(B161),MONTH(B161),1)</f>
        <v>45566</v>
      </c>
      <c r="O161" s="2">
        <f>DATE(YEAR(B161),MONTH(B161),1)</f>
        <v>45566</v>
      </c>
    </row>
    <row r="162" spans="1:15" x14ac:dyDescent="0.2">
      <c r="A162" s="1" t="s">
        <v>89</v>
      </c>
      <c r="B162" s="3">
        <v>45587</v>
      </c>
      <c r="C162" s="3">
        <v>45592</v>
      </c>
      <c r="D162" s="1" t="s">
        <v>7</v>
      </c>
      <c r="E162" s="1" t="str">
        <f>UPPER(TRIM(D162))</f>
        <v>BILLING ISSUE</v>
      </c>
      <c r="F162" s="1" t="s">
        <v>2</v>
      </c>
      <c r="G162" s="1" t="s">
        <v>47</v>
      </c>
      <c r="H162" s="1" t="str">
        <f>IF(OR(TRIM(G162)="Yes",TRIM(G162)="YES",TRIM(G162)="Y",TRIM(G162)="yes"),"Yes","No")</f>
        <v>Yes</v>
      </c>
      <c r="I162" s="1" t="s">
        <v>16</v>
      </c>
      <c r="J162" s="1" t="str">
        <f>IF(OR(TRIM(I162)="Yes",TRIM(I162)="YES",TRIM(I162)="Y",TRIM(I162)="yes"),"Yes","No")</f>
        <v>No</v>
      </c>
      <c r="K162" s="1" t="s">
        <v>5</v>
      </c>
      <c r="L162" s="1" t="str">
        <f>IF(C162="","Yes","No")</f>
        <v>No</v>
      </c>
      <c r="M162" s="1">
        <f>IF(C162="", "", C162 - B162)</f>
        <v>5</v>
      </c>
      <c r="N162" s="3">
        <f>DATE(YEAR(B162),MONTH(B162),1)</f>
        <v>45566</v>
      </c>
      <c r="O162" s="2">
        <f>DATE(YEAR(B162),MONTH(B162),1)</f>
        <v>45566</v>
      </c>
    </row>
    <row r="163" spans="1:15" x14ac:dyDescent="0.2">
      <c r="A163" s="1" t="s">
        <v>231</v>
      </c>
      <c r="B163" s="3">
        <v>45707</v>
      </c>
      <c r="C163" s="3">
        <v>45723</v>
      </c>
      <c r="D163" s="1" t="s">
        <v>10</v>
      </c>
      <c r="E163" s="1" t="str">
        <f>UPPER(TRIM(D163))</f>
        <v>POLICY UPDATE</v>
      </c>
      <c r="F163" s="1" t="s">
        <v>2</v>
      </c>
      <c r="G163" s="1" t="s">
        <v>12</v>
      </c>
      <c r="H163" s="1" t="str">
        <f>IF(OR(TRIM(G163)="Yes",TRIM(G163)="YES",TRIM(G163)="Y",TRIM(G163)="yes"),"Yes","No")</f>
        <v>No</v>
      </c>
      <c r="I163" s="1" t="s">
        <v>1</v>
      </c>
      <c r="J163" s="1" t="str">
        <f>IF(OR(TRIM(I163)="Yes",TRIM(I163)="YES",TRIM(I163)="Y",TRIM(I163)="yes"),"Yes","No")</f>
        <v>Yes</v>
      </c>
      <c r="K163" s="1" t="s">
        <v>5</v>
      </c>
      <c r="L163" s="1" t="str">
        <f>IF(C163="","Yes","No")</f>
        <v>No</v>
      </c>
      <c r="M163" s="1">
        <f>IF(C163="", "", C163 - B163)</f>
        <v>16</v>
      </c>
      <c r="N163" s="3">
        <f>DATE(YEAR(B163),MONTH(B163),1)</f>
        <v>45689</v>
      </c>
      <c r="O163" s="2">
        <f>DATE(YEAR(B163),MONTH(B163),1)</f>
        <v>45689</v>
      </c>
    </row>
    <row r="164" spans="1:15" x14ac:dyDescent="0.2">
      <c r="A164" s="1" t="s">
        <v>173</v>
      </c>
      <c r="B164" s="3">
        <v>45658</v>
      </c>
      <c r="C164" s="3">
        <v>45677</v>
      </c>
      <c r="D164" s="1" t="s">
        <v>19</v>
      </c>
      <c r="E164" s="1" t="str">
        <f>UPPER(TRIM(D164))</f>
        <v>DOC ERROR</v>
      </c>
      <c r="F164" s="1" t="s">
        <v>21</v>
      </c>
      <c r="H164" s="1" t="str">
        <f>IF(OR(TRIM(G164)="Yes",TRIM(G164)="YES",TRIM(G164)="Y",TRIM(G164)="yes"),"Yes","No")</f>
        <v>No</v>
      </c>
      <c r="I164" s="1" t="s">
        <v>16</v>
      </c>
      <c r="J164" s="1" t="str">
        <f>IF(OR(TRIM(I164)="Yes",TRIM(I164)="YES",TRIM(I164)="Y",TRIM(I164)="yes"),"Yes","No")</f>
        <v>No</v>
      </c>
      <c r="L164" s="1" t="str">
        <f>IF(C164="","Yes","No")</f>
        <v>No</v>
      </c>
      <c r="M164" s="1">
        <f>IF(C164="", "", C164 - B164)</f>
        <v>19</v>
      </c>
      <c r="N164" s="3">
        <f>DATE(YEAR(B164),MONTH(B164),1)</f>
        <v>45658</v>
      </c>
      <c r="O164" s="2">
        <f>DATE(YEAR(B164),MONTH(B164),1)</f>
        <v>45658</v>
      </c>
    </row>
    <row r="165" spans="1:15" x14ac:dyDescent="0.2">
      <c r="A165" s="1" t="s">
        <v>74</v>
      </c>
      <c r="B165" s="3">
        <v>45580</v>
      </c>
      <c r="C165" s="3">
        <v>45591</v>
      </c>
      <c r="D165" s="1" t="s">
        <v>24</v>
      </c>
      <c r="E165" s="1" t="str">
        <f>UPPER(TRIM(D165))</f>
        <v>BILLING ISSUE</v>
      </c>
      <c r="F165" s="1" t="s">
        <v>2</v>
      </c>
      <c r="G165" s="1" t="s">
        <v>47</v>
      </c>
      <c r="H165" s="1" t="str">
        <f>IF(OR(TRIM(G165)="Yes",TRIM(G165)="YES",TRIM(G165)="Y",TRIM(G165)="yes"),"Yes","No")</f>
        <v>Yes</v>
      </c>
      <c r="I165" s="1" t="s">
        <v>0</v>
      </c>
      <c r="J165" s="1" t="str">
        <f>IF(OR(TRIM(I165)="Yes",TRIM(I165)="YES",TRIM(I165)="Y",TRIM(I165)="yes"),"Yes","No")</f>
        <v>Yes</v>
      </c>
      <c r="K165" s="1" t="s">
        <v>15</v>
      </c>
      <c r="L165" s="1" t="str">
        <f>IF(C165="","Yes","No")</f>
        <v>No</v>
      </c>
      <c r="M165" s="1">
        <f>IF(C165="", "", C165 - B165)</f>
        <v>11</v>
      </c>
      <c r="N165" s="3">
        <f>DATE(YEAR(B165),MONTH(B165),1)</f>
        <v>45566</v>
      </c>
      <c r="O165" s="2">
        <f>DATE(YEAR(B165),MONTH(B165),1)</f>
        <v>45566</v>
      </c>
    </row>
    <row r="166" spans="1:15" x14ac:dyDescent="0.2">
      <c r="A166" s="1" t="s">
        <v>230</v>
      </c>
      <c r="B166" s="3">
        <v>45684</v>
      </c>
      <c r="C166" s="3">
        <v>45688</v>
      </c>
      <c r="D166" s="1" t="s">
        <v>27</v>
      </c>
      <c r="E166" s="1" t="str">
        <f>UPPER(TRIM(D166))</f>
        <v>SERVICE DELAY</v>
      </c>
      <c r="F166" s="1" t="s">
        <v>21</v>
      </c>
      <c r="G166" s="1" t="s">
        <v>9</v>
      </c>
      <c r="H166" s="1" t="str">
        <f>IF(OR(TRIM(G166)="Yes",TRIM(G166)="YES",TRIM(G166)="Y",TRIM(G166)="yes"),"Yes","No")</f>
        <v>No</v>
      </c>
      <c r="J166" s="1" t="str">
        <f>IF(OR(TRIM(I166)="Yes",TRIM(I166)="YES",TRIM(I166)="Y",TRIM(I166)="yes"),"Yes","No")</f>
        <v>No</v>
      </c>
      <c r="L166" s="1" t="str">
        <f>IF(C166="","Yes","No")</f>
        <v>No</v>
      </c>
      <c r="M166" s="1">
        <f>IF(C166="", "", C166 - B166)</f>
        <v>4</v>
      </c>
      <c r="N166" s="3">
        <f>DATE(YEAR(B166),MONTH(B166),1)</f>
        <v>45658</v>
      </c>
      <c r="O166" s="2">
        <f>DATE(YEAR(B166),MONTH(B166),1)</f>
        <v>45658</v>
      </c>
    </row>
    <row r="167" spans="1:15" x14ac:dyDescent="0.2">
      <c r="A167" s="1" t="s">
        <v>229</v>
      </c>
      <c r="B167" s="3">
        <v>45723</v>
      </c>
      <c r="C167" s="3">
        <v>45743</v>
      </c>
      <c r="D167" s="1" t="s">
        <v>44</v>
      </c>
      <c r="E167" s="1" t="str">
        <f>UPPER(TRIM(D167))</f>
        <v>COMMUNICATION DELAY</v>
      </c>
      <c r="F167" s="1" t="s">
        <v>6</v>
      </c>
      <c r="G167" s="1" t="s">
        <v>47</v>
      </c>
      <c r="H167" s="1" t="str">
        <f>IF(OR(TRIM(G167)="Yes",TRIM(G167)="YES",TRIM(G167)="Y",TRIM(G167)="yes"),"Yes","No")</f>
        <v>Yes</v>
      </c>
      <c r="I167" s="1" t="s">
        <v>0</v>
      </c>
      <c r="J167" s="1" t="str">
        <f>IF(OR(TRIM(I167)="Yes",TRIM(I167)="YES",TRIM(I167)="Y",TRIM(I167)="yes"),"Yes","No")</f>
        <v>Yes</v>
      </c>
      <c r="L167" s="1" t="str">
        <f>IF(C167="","Yes","No")</f>
        <v>No</v>
      </c>
      <c r="M167" s="1">
        <f>IF(C167="", "", C167 - B167)</f>
        <v>20</v>
      </c>
      <c r="N167" s="3">
        <f>DATE(YEAR(B167),MONTH(B167),1)</f>
        <v>45717</v>
      </c>
      <c r="O167" s="2">
        <f>DATE(YEAR(B167),MONTH(B167),1)</f>
        <v>45717</v>
      </c>
    </row>
    <row r="168" spans="1:15" x14ac:dyDescent="0.2">
      <c r="A168" s="1" t="s">
        <v>228</v>
      </c>
      <c r="B168" s="3">
        <v>45722</v>
      </c>
      <c r="C168" s="3">
        <v>45723</v>
      </c>
      <c r="D168" s="1" t="s">
        <v>35</v>
      </c>
      <c r="E168" s="1" t="str">
        <f>UPPER(TRIM(D168))</f>
        <v>DOCUMENTATION ERROR</v>
      </c>
      <c r="F168" s="1" t="s">
        <v>2</v>
      </c>
      <c r="G168" s="1" t="s">
        <v>0</v>
      </c>
      <c r="H168" s="1" t="str">
        <f>IF(OR(TRIM(G168)="Yes",TRIM(G168)="YES",TRIM(G168)="Y",TRIM(G168)="yes"),"Yes","No")</f>
        <v>Yes</v>
      </c>
      <c r="J168" s="1" t="str">
        <f>IF(OR(TRIM(I168)="Yes",TRIM(I168)="YES",TRIM(I168)="Y",TRIM(I168)="yes"),"Yes","No")</f>
        <v>No</v>
      </c>
      <c r="K168" s="1" t="s">
        <v>15</v>
      </c>
      <c r="L168" s="1" t="str">
        <f>IF(C168="","Yes","No")</f>
        <v>No</v>
      </c>
      <c r="M168" s="1">
        <f>IF(C168="", "", C168 - B168)</f>
        <v>1</v>
      </c>
      <c r="N168" s="3">
        <f>DATE(YEAR(B168),MONTH(B168),1)</f>
        <v>45717</v>
      </c>
      <c r="O168" s="2">
        <f>DATE(YEAR(B168),MONTH(B168),1)</f>
        <v>45717</v>
      </c>
    </row>
    <row r="169" spans="1:15" x14ac:dyDescent="0.2">
      <c r="A169" s="1" t="s">
        <v>124</v>
      </c>
      <c r="B169" s="3">
        <v>45692</v>
      </c>
      <c r="C169" s="3">
        <v>45701</v>
      </c>
      <c r="D169" s="1" t="s">
        <v>19</v>
      </c>
      <c r="E169" s="1" t="str">
        <f>UPPER(TRIM(D169))</f>
        <v>DOC ERROR</v>
      </c>
      <c r="F169" s="1" t="s">
        <v>6</v>
      </c>
      <c r="G169" s="1" t="s">
        <v>47</v>
      </c>
      <c r="H169" s="1" t="str">
        <f>IF(OR(TRIM(G169)="Yes",TRIM(G169)="YES",TRIM(G169)="Y",TRIM(G169)="yes"),"Yes","No")</f>
        <v>Yes</v>
      </c>
      <c r="J169" s="1" t="str">
        <f>IF(OR(TRIM(I169)="Yes",TRIM(I169)="YES",TRIM(I169)="Y",TRIM(I169)="yes"),"Yes","No")</f>
        <v>No</v>
      </c>
      <c r="K169" s="1" t="s">
        <v>15</v>
      </c>
      <c r="L169" s="1" t="str">
        <f>IF(C169="","Yes","No")</f>
        <v>No</v>
      </c>
      <c r="M169" s="1">
        <f>IF(C169="", "", C169 - B169)</f>
        <v>9</v>
      </c>
      <c r="N169" s="3">
        <f>DATE(YEAR(B169),MONTH(B169),1)</f>
        <v>45689</v>
      </c>
      <c r="O169" s="2">
        <f>DATE(YEAR(B169),MONTH(B169),1)</f>
        <v>45689</v>
      </c>
    </row>
    <row r="170" spans="1:15" x14ac:dyDescent="0.2">
      <c r="A170" s="1" t="s">
        <v>227</v>
      </c>
      <c r="B170" s="3">
        <v>45735</v>
      </c>
      <c r="C170" s="3">
        <v>45754</v>
      </c>
      <c r="D170" s="1" t="s">
        <v>3</v>
      </c>
      <c r="E170" s="1" t="str">
        <f>UPPER(TRIM(D170))</f>
        <v>COMMUNICATION DELAY</v>
      </c>
      <c r="F170" s="1" t="s">
        <v>21</v>
      </c>
      <c r="G170" s="1" t="s">
        <v>0</v>
      </c>
      <c r="H170" s="1" t="str">
        <f>IF(OR(TRIM(G170)="Yes",TRIM(G170)="YES",TRIM(G170)="Y",TRIM(G170)="yes"),"Yes","No")</f>
        <v>Yes</v>
      </c>
      <c r="I170" s="1" t="s">
        <v>9</v>
      </c>
      <c r="J170" s="1" t="str">
        <f>IF(OR(TRIM(I170)="Yes",TRIM(I170)="YES",TRIM(I170)="Y",TRIM(I170)="yes"),"Yes","No")</f>
        <v>No</v>
      </c>
      <c r="K170" s="1" t="s">
        <v>29</v>
      </c>
      <c r="L170" s="1" t="str">
        <f>IF(C170="","Yes","No")</f>
        <v>No</v>
      </c>
      <c r="M170" s="1">
        <f>IF(C170="", "", C170 - B170)</f>
        <v>19</v>
      </c>
      <c r="N170" s="3">
        <f>DATE(YEAR(B170),MONTH(B170),1)</f>
        <v>45717</v>
      </c>
      <c r="O170" s="2">
        <f>DATE(YEAR(B170),MONTH(B170),1)</f>
        <v>45717</v>
      </c>
    </row>
    <row r="171" spans="1:15" x14ac:dyDescent="0.2">
      <c r="A171" s="1" t="s">
        <v>226</v>
      </c>
      <c r="B171" s="3">
        <v>45634</v>
      </c>
      <c r="C171" s="3">
        <v>45637</v>
      </c>
      <c r="D171" s="1" t="s">
        <v>24</v>
      </c>
      <c r="E171" s="1" t="str">
        <f>UPPER(TRIM(D171))</f>
        <v>BILLING ISSUE</v>
      </c>
      <c r="F171" s="1" t="s">
        <v>6</v>
      </c>
      <c r="G171" s="1" t="s">
        <v>9</v>
      </c>
      <c r="H171" s="1" t="str">
        <f>IF(OR(TRIM(G171)="Yes",TRIM(G171)="YES",TRIM(G171)="Y",TRIM(G171)="yes"),"Yes","No")</f>
        <v>No</v>
      </c>
      <c r="J171" s="1" t="str">
        <f>IF(OR(TRIM(I171)="Yes",TRIM(I171)="YES",TRIM(I171)="Y",TRIM(I171)="yes"),"Yes","No")</f>
        <v>No</v>
      </c>
      <c r="L171" s="1" t="str">
        <f>IF(C171="","Yes","No")</f>
        <v>No</v>
      </c>
      <c r="M171" s="1">
        <f>IF(C171="", "", C171 - B171)</f>
        <v>3</v>
      </c>
      <c r="N171" s="3">
        <f>DATE(YEAR(B171),MONTH(B171),1)</f>
        <v>45627</v>
      </c>
      <c r="O171" s="2">
        <f>DATE(YEAR(B171),MONTH(B171),1)</f>
        <v>45627</v>
      </c>
    </row>
    <row r="172" spans="1:15" x14ac:dyDescent="0.2">
      <c r="A172" s="1" t="s">
        <v>68</v>
      </c>
      <c r="B172" s="3">
        <v>45663</v>
      </c>
      <c r="C172" s="3">
        <v>45676</v>
      </c>
      <c r="D172" s="1" t="s">
        <v>24</v>
      </c>
      <c r="E172" s="1" t="str">
        <f>UPPER(TRIM(D172))</f>
        <v>BILLING ISSUE</v>
      </c>
      <c r="F172" s="1" t="s">
        <v>21</v>
      </c>
      <c r="G172" s="1" t="s">
        <v>0</v>
      </c>
      <c r="H172" s="1" t="str">
        <f>IF(OR(TRIM(G172)="Yes",TRIM(G172)="YES",TRIM(G172)="Y",TRIM(G172)="yes"),"Yes","No")</f>
        <v>Yes</v>
      </c>
      <c r="I172" s="1" t="s">
        <v>9</v>
      </c>
      <c r="J172" s="1" t="str">
        <f>IF(OR(TRIM(I172)="Yes",TRIM(I172)="YES",TRIM(I172)="Y",TRIM(I172)="yes"),"Yes","No")</f>
        <v>No</v>
      </c>
      <c r="K172" s="1" t="s">
        <v>29</v>
      </c>
      <c r="L172" s="1" t="str">
        <f>IF(C172="","Yes","No")</f>
        <v>No</v>
      </c>
      <c r="M172" s="1">
        <f>IF(C172="", "", C172 - B172)</f>
        <v>13</v>
      </c>
      <c r="N172" s="3">
        <f>DATE(YEAR(B172),MONTH(B172),1)</f>
        <v>45658</v>
      </c>
      <c r="O172" s="2">
        <f>DATE(YEAR(B172),MONTH(B172),1)</f>
        <v>45658</v>
      </c>
    </row>
    <row r="173" spans="1:15" x14ac:dyDescent="0.2">
      <c r="A173" s="1" t="s">
        <v>157</v>
      </c>
      <c r="B173" s="3">
        <v>45706</v>
      </c>
      <c r="D173" s="1" t="s">
        <v>3</v>
      </c>
      <c r="E173" s="1" t="str">
        <f>UPPER(TRIM(D173))</f>
        <v>COMMUNICATION DELAY</v>
      </c>
      <c r="G173" s="1" t="s">
        <v>12</v>
      </c>
      <c r="H173" s="1" t="str">
        <f>IF(OR(TRIM(G173)="Yes",TRIM(G173)="YES",TRIM(G173)="Y",TRIM(G173)="yes"),"Yes","No")</f>
        <v>No</v>
      </c>
      <c r="J173" s="1" t="str">
        <f>IF(OR(TRIM(I173)="Yes",TRIM(I173)="YES",TRIM(I173)="Y",TRIM(I173)="yes"),"Yes","No")</f>
        <v>No</v>
      </c>
      <c r="L173" s="1" t="str">
        <f>IF(C173="","Yes","No")</f>
        <v>Yes</v>
      </c>
      <c r="M173" s="1" t="str">
        <f>IF(C173="", "", C173 - B173)</f>
        <v/>
      </c>
      <c r="N173" s="3">
        <f>DATE(YEAR(B173),MONTH(B173),1)</f>
        <v>45689</v>
      </c>
      <c r="O173" s="2">
        <f>DATE(YEAR(B173),MONTH(B173),1)</f>
        <v>45689</v>
      </c>
    </row>
    <row r="174" spans="1:15" x14ac:dyDescent="0.2">
      <c r="A174" s="1" t="s">
        <v>225</v>
      </c>
      <c r="B174" s="3">
        <v>45718</v>
      </c>
      <c r="D174" s="1" t="s">
        <v>33</v>
      </c>
      <c r="E174" s="1" t="str">
        <f>UPPER(TRIM(D174))</f>
        <v>POLICY UPDATE</v>
      </c>
      <c r="F174" s="1" t="s">
        <v>6</v>
      </c>
      <c r="G174" s="1" t="s">
        <v>0</v>
      </c>
      <c r="H174" s="1" t="str">
        <f>IF(OR(TRIM(G174)="Yes",TRIM(G174)="YES",TRIM(G174)="Y",TRIM(G174)="yes"),"Yes","No")</f>
        <v>Yes</v>
      </c>
      <c r="J174" s="1" t="str">
        <f>IF(OR(TRIM(I174)="Yes",TRIM(I174)="YES",TRIM(I174)="Y",TRIM(I174)="yes"),"Yes","No")</f>
        <v>No</v>
      </c>
      <c r="L174" s="1" t="str">
        <f>IF(C174="","Yes","No")</f>
        <v>Yes</v>
      </c>
      <c r="M174" s="1" t="str">
        <f>IF(C174="", "", C174 - B174)</f>
        <v/>
      </c>
      <c r="N174" s="3">
        <f>DATE(YEAR(B174),MONTH(B174),1)</f>
        <v>45717</v>
      </c>
      <c r="O174" s="2">
        <f>DATE(YEAR(B174),MONTH(B174),1)</f>
        <v>45717</v>
      </c>
    </row>
    <row r="175" spans="1:15" x14ac:dyDescent="0.2">
      <c r="A175" s="1" t="s">
        <v>168</v>
      </c>
      <c r="B175" s="3">
        <v>45630</v>
      </c>
      <c r="C175" s="3">
        <v>45641</v>
      </c>
      <c r="D175" s="1" t="s">
        <v>22</v>
      </c>
      <c r="E175" s="1" t="str">
        <f>UPPER(TRIM(D175))</f>
        <v>BILLING ISSUE</v>
      </c>
      <c r="F175" s="1" t="s">
        <v>18</v>
      </c>
      <c r="H175" s="1" t="str">
        <f>IF(OR(TRIM(G175)="Yes",TRIM(G175)="YES",TRIM(G175)="Y",TRIM(G175)="yes"),"Yes","No")</f>
        <v>No</v>
      </c>
      <c r="I175" s="1" t="s">
        <v>9</v>
      </c>
      <c r="J175" s="1" t="str">
        <f>IF(OR(TRIM(I175)="Yes",TRIM(I175)="YES",TRIM(I175)="Y",TRIM(I175)="yes"),"Yes","No")</f>
        <v>No</v>
      </c>
      <c r="K175" s="1" t="s">
        <v>5</v>
      </c>
      <c r="L175" s="1" t="str">
        <f>IF(C175="","Yes","No")</f>
        <v>No</v>
      </c>
      <c r="M175" s="1">
        <f>IF(C175="", "", C175 - B175)</f>
        <v>11</v>
      </c>
      <c r="N175" s="3">
        <f>DATE(YEAR(B175),MONTH(B175),1)</f>
        <v>45627</v>
      </c>
      <c r="O175" s="2">
        <f>DATE(YEAR(B175),MONTH(B175),1)</f>
        <v>45627</v>
      </c>
    </row>
    <row r="176" spans="1:15" x14ac:dyDescent="0.2">
      <c r="A176" s="1" t="s">
        <v>100</v>
      </c>
      <c r="B176" s="3">
        <v>45620</v>
      </c>
      <c r="D176" s="1" t="s">
        <v>44</v>
      </c>
      <c r="E176" s="1" t="str">
        <f>UPPER(TRIM(D176))</f>
        <v>COMMUNICATION DELAY</v>
      </c>
      <c r="G176" s="1" t="s">
        <v>12</v>
      </c>
      <c r="H176" s="1" t="str">
        <f>IF(OR(TRIM(G176)="Yes",TRIM(G176)="YES",TRIM(G176)="Y",TRIM(G176)="yes"),"Yes","No")</f>
        <v>No</v>
      </c>
      <c r="I176" s="1" t="s">
        <v>16</v>
      </c>
      <c r="J176" s="1" t="str">
        <f>IF(OR(TRIM(I176)="Yes",TRIM(I176)="YES",TRIM(I176)="Y",TRIM(I176)="yes"),"Yes","No")</f>
        <v>No</v>
      </c>
      <c r="K176" s="1" t="s">
        <v>29</v>
      </c>
      <c r="L176" s="1" t="str">
        <f>IF(C176="","Yes","No")</f>
        <v>Yes</v>
      </c>
      <c r="M176" s="1" t="str">
        <f>IF(C176="", "", C176 - B176)</f>
        <v/>
      </c>
      <c r="N176" s="3">
        <f>DATE(YEAR(B176),MONTH(B176),1)</f>
        <v>45597</v>
      </c>
      <c r="O176" s="2">
        <f>DATE(YEAR(B176),MONTH(B176),1)</f>
        <v>45597</v>
      </c>
    </row>
    <row r="177" spans="1:15" x14ac:dyDescent="0.2">
      <c r="A177" s="1" t="s">
        <v>224</v>
      </c>
      <c r="B177" s="3">
        <v>45685</v>
      </c>
      <c r="C177" s="3">
        <v>45696</v>
      </c>
      <c r="D177" s="1" t="s">
        <v>27</v>
      </c>
      <c r="E177" s="1" t="str">
        <f>UPPER(TRIM(D177))</f>
        <v>SERVICE DELAY</v>
      </c>
      <c r="F177" s="1" t="s">
        <v>2</v>
      </c>
      <c r="G177" s="1" t="s">
        <v>1</v>
      </c>
      <c r="H177" s="1" t="str">
        <f>IF(OR(TRIM(G177)="Yes",TRIM(G177)="YES",TRIM(G177)="Y",TRIM(G177)="yes"),"Yes","No")</f>
        <v>Yes</v>
      </c>
      <c r="I177" s="1" t="s">
        <v>0</v>
      </c>
      <c r="J177" s="1" t="str">
        <f>IF(OR(TRIM(I177)="Yes",TRIM(I177)="YES",TRIM(I177)="Y",TRIM(I177)="yes"),"Yes","No")</f>
        <v>Yes</v>
      </c>
      <c r="K177" s="1" t="s">
        <v>15</v>
      </c>
      <c r="L177" s="1" t="str">
        <f>IF(C177="","Yes","No")</f>
        <v>No</v>
      </c>
      <c r="M177" s="1">
        <f>IF(C177="", "", C177 - B177)</f>
        <v>11</v>
      </c>
      <c r="N177" s="3">
        <f>DATE(YEAR(B177),MONTH(B177),1)</f>
        <v>45658</v>
      </c>
      <c r="O177" s="2">
        <f>DATE(YEAR(B177),MONTH(B177),1)</f>
        <v>45658</v>
      </c>
    </row>
    <row r="178" spans="1:15" x14ac:dyDescent="0.2">
      <c r="A178" s="1" t="s">
        <v>223</v>
      </c>
      <c r="B178" s="3">
        <v>45672</v>
      </c>
      <c r="C178" s="3">
        <v>45686</v>
      </c>
      <c r="D178" s="1" t="s">
        <v>35</v>
      </c>
      <c r="E178" s="1" t="str">
        <f>UPPER(TRIM(D178))</f>
        <v>DOCUMENTATION ERROR</v>
      </c>
      <c r="G178" s="1" t="s">
        <v>47</v>
      </c>
      <c r="H178" s="1" t="str">
        <f>IF(OR(TRIM(G178)="Yes",TRIM(G178)="YES",TRIM(G178)="Y",TRIM(G178)="yes"),"Yes","No")</f>
        <v>Yes</v>
      </c>
      <c r="J178" s="1" t="str">
        <f>IF(OR(TRIM(I178)="Yes",TRIM(I178)="YES",TRIM(I178)="Y",TRIM(I178)="yes"),"Yes","No")</f>
        <v>No</v>
      </c>
      <c r="K178" s="1" t="s">
        <v>29</v>
      </c>
      <c r="L178" s="1" t="str">
        <f>IF(C178="","Yes","No")</f>
        <v>No</v>
      </c>
      <c r="M178" s="1">
        <f>IF(C178="", "", C178 - B178)</f>
        <v>14</v>
      </c>
      <c r="N178" s="3">
        <f>DATE(YEAR(B178),MONTH(B178),1)</f>
        <v>45658</v>
      </c>
      <c r="O178" s="2">
        <f>DATE(YEAR(B178),MONTH(B178),1)</f>
        <v>45658</v>
      </c>
    </row>
    <row r="179" spans="1:15" x14ac:dyDescent="0.2">
      <c r="A179" s="1" t="s">
        <v>187</v>
      </c>
      <c r="B179" s="3">
        <v>45608</v>
      </c>
      <c r="C179" s="3">
        <v>45624</v>
      </c>
      <c r="D179" s="1" t="s">
        <v>33</v>
      </c>
      <c r="E179" s="1" t="str">
        <f>UPPER(TRIM(D179))</f>
        <v>POLICY UPDATE</v>
      </c>
      <c r="F179" s="1" t="s">
        <v>6</v>
      </c>
      <c r="G179" s="1" t="s">
        <v>47</v>
      </c>
      <c r="H179" s="1" t="str">
        <f>IF(OR(TRIM(G179)="Yes",TRIM(G179)="YES",TRIM(G179)="Y",TRIM(G179)="yes"),"Yes","No")</f>
        <v>Yes</v>
      </c>
      <c r="I179" s="1" t="s">
        <v>16</v>
      </c>
      <c r="J179" s="1" t="str">
        <f>IF(OR(TRIM(I179)="Yes",TRIM(I179)="YES",TRIM(I179)="Y",TRIM(I179)="yes"),"Yes","No")</f>
        <v>No</v>
      </c>
      <c r="L179" s="1" t="str">
        <f>IF(C179="","Yes","No")</f>
        <v>No</v>
      </c>
      <c r="M179" s="1">
        <f>IF(C179="", "", C179 - B179)</f>
        <v>16</v>
      </c>
      <c r="N179" s="3">
        <f>DATE(YEAR(B179),MONTH(B179),1)</f>
        <v>45597</v>
      </c>
      <c r="O179" s="2">
        <f>DATE(YEAR(B179),MONTH(B179),1)</f>
        <v>45597</v>
      </c>
    </row>
    <row r="180" spans="1:15" x14ac:dyDescent="0.2">
      <c r="A180" s="1" t="s">
        <v>222</v>
      </c>
      <c r="B180" s="3">
        <v>45581</v>
      </c>
      <c r="C180" s="3">
        <v>45587</v>
      </c>
      <c r="D180" s="1" t="s">
        <v>22</v>
      </c>
      <c r="E180" s="1" t="str">
        <f>UPPER(TRIM(D180))</f>
        <v>BILLING ISSUE</v>
      </c>
      <c r="G180" s="1" t="s">
        <v>0</v>
      </c>
      <c r="H180" s="1" t="str">
        <f>IF(OR(TRIM(G180)="Yes",TRIM(G180)="YES",TRIM(G180)="Y",TRIM(G180)="yes"),"Yes","No")</f>
        <v>Yes</v>
      </c>
      <c r="I180" s="1" t="s">
        <v>1</v>
      </c>
      <c r="J180" s="1" t="str">
        <f>IF(OR(TRIM(I180)="Yes",TRIM(I180)="YES",TRIM(I180)="Y",TRIM(I180)="yes"),"Yes","No")</f>
        <v>Yes</v>
      </c>
      <c r="K180" s="1" t="s">
        <v>15</v>
      </c>
      <c r="L180" s="1" t="str">
        <f>IF(C180="","Yes","No")</f>
        <v>No</v>
      </c>
      <c r="M180" s="1">
        <f>IF(C180="", "", C180 - B180)</f>
        <v>6</v>
      </c>
      <c r="N180" s="3">
        <f>DATE(YEAR(B180),MONTH(B180),1)</f>
        <v>45566</v>
      </c>
      <c r="O180" s="2">
        <f>DATE(YEAR(B180),MONTH(B180),1)</f>
        <v>45566</v>
      </c>
    </row>
    <row r="181" spans="1:15" x14ac:dyDescent="0.2">
      <c r="A181" s="1" t="s">
        <v>137</v>
      </c>
      <c r="B181" s="3">
        <v>45642</v>
      </c>
      <c r="C181" s="3">
        <v>45657</v>
      </c>
      <c r="D181" s="1" t="s">
        <v>7</v>
      </c>
      <c r="E181" s="1" t="str">
        <f>UPPER(TRIM(D181))</f>
        <v>BILLING ISSUE</v>
      </c>
      <c r="F181" s="1" t="s">
        <v>6</v>
      </c>
      <c r="H181" s="1" t="str">
        <f>IF(OR(TRIM(G181)="Yes",TRIM(G181)="YES",TRIM(G181)="Y",TRIM(G181)="yes"),"Yes","No")</f>
        <v>No</v>
      </c>
      <c r="I181" s="1" t="s">
        <v>0</v>
      </c>
      <c r="J181" s="1" t="str">
        <f>IF(OR(TRIM(I181)="Yes",TRIM(I181)="YES",TRIM(I181)="Y",TRIM(I181)="yes"),"Yes","No")</f>
        <v>Yes</v>
      </c>
      <c r="K181" s="1" t="s">
        <v>29</v>
      </c>
      <c r="L181" s="1" t="str">
        <f>IF(C181="","Yes","No")</f>
        <v>No</v>
      </c>
      <c r="M181" s="1">
        <f>IF(C181="", "", C181 - B181)</f>
        <v>15</v>
      </c>
      <c r="N181" s="3">
        <f>DATE(YEAR(B181),MONTH(B181),1)</f>
        <v>45627</v>
      </c>
      <c r="O181" s="2">
        <f>DATE(YEAR(B181),MONTH(B181),1)</f>
        <v>45627</v>
      </c>
    </row>
    <row r="182" spans="1:15" x14ac:dyDescent="0.2">
      <c r="A182" s="1" t="s">
        <v>221</v>
      </c>
      <c r="B182" s="3">
        <v>45664</v>
      </c>
      <c r="C182" s="3">
        <v>45679</v>
      </c>
      <c r="D182" s="1" t="s">
        <v>19</v>
      </c>
      <c r="E182" s="1" t="str">
        <f>UPPER(TRIM(D182))</f>
        <v>DOC ERROR</v>
      </c>
      <c r="F182" s="1" t="s">
        <v>18</v>
      </c>
      <c r="G182" s="1" t="s">
        <v>0</v>
      </c>
      <c r="H182" s="1" t="str">
        <f>IF(OR(TRIM(G182)="Yes",TRIM(G182)="YES",TRIM(G182)="Y",TRIM(G182)="yes"),"Yes","No")</f>
        <v>Yes</v>
      </c>
      <c r="I182" s="1" t="s">
        <v>16</v>
      </c>
      <c r="J182" s="1" t="str">
        <f>IF(OR(TRIM(I182)="Yes",TRIM(I182)="YES",TRIM(I182)="Y",TRIM(I182)="yes"),"Yes","No")</f>
        <v>No</v>
      </c>
      <c r="L182" s="1" t="str">
        <f>IF(C182="","Yes","No")</f>
        <v>No</v>
      </c>
      <c r="M182" s="1">
        <f>IF(C182="", "", C182 - B182)</f>
        <v>15</v>
      </c>
      <c r="N182" s="3">
        <f>DATE(YEAR(B182),MONTH(B182),1)</f>
        <v>45658</v>
      </c>
      <c r="O182" s="2">
        <f>DATE(YEAR(B182),MONTH(B182),1)</f>
        <v>45658</v>
      </c>
    </row>
    <row r="183" spans="1:15" x14ac:dyDescent="0.2">
      <c r="A183" s="1" t="s">
        <v>120</v>
      </c>
      <c r="B183" s="3">
        <v>45628</v>
      </c>
      <c r="C183" s="3">
        <v>45640</v>
      </c>
      <c r="D183" s="1" t="s">
        <v>35</v>
      </c>
      <c r="E183" s="1" t="str">
        <f>UPPER(TRIM(D183))</f>
        <v>DOCUMENTATION ERROR</v>
      </c>
      <c r="F183" s="1" t="s">
        <v>18</v>
      </c>
      <c r="G183" s="1" t="s">
        <v>47</v>
      </c>
      <c r="H183" s="1" t="str">
        <f>IF(OR(TRIM(G183)="Yes",TRIM(G183)="YES",TRIM(G183)="Y",TRIM(G183)="yes"),"Yes","No")</f>
        <v>Yes</v>
      </c>
      <c r="I183" s="1" t="s">
        <v>9</v>
      </c>
      <c r="J183" s="1" t="str">
        <f>IF(OR(TRIM(I183)="Yes",TRIM(I183)="YES",TRIM(I183)="Y",TRIM(I183)="yes"),"Yes","No")</f>
        <v>No</v>
      </c>
      <c r="L183" s="1" t="str">
        <f>IF(C183="","Yes","No")</f>
        <v>No</v>
      </c>
      <c r="M183" s="1">
        <f>IF(C183="", "", C183 - B183)</f>
        <v>12</v>
      </c>
      <c r="N183" s="3">
        <f>DATE(YEAR(B183),MONTH(B183),1)</f>
        <v>45627</v>
      </c>
      <c r="O183" s="2">
        <f>DATE(YEAR(B183),MONTH(B183),1)</f>
        <v>45627</v>
      </c>
    </row>
    <row r="184" spans="1:15" x14ac:dyDescent="0.2">
      <c r="A184" s="1" t="s">
        <v>220</v>
      </c>
      <c r="B184" s="3">
        <v>45739</v>
      </c>
      <c r="D184" s="1" t="s">
        <v>24</v>
      </c>
      <c r="E184" s="1" t="str">
        <f>UPPER(TRIM(D184))</f>
        <v>BILLING ISSUE</v>
      </c>
      <c r="F184" s="1" t="s">
        <v>21</v>
      </c>
      <c r="G184" s="1" t="s">
        <v>1</v>
      </c>
      <c r="H184" s="1" t="str">
        <f>IF(OR(TRIM(G184)="Yes",TRIM(G184)="YES",TRIM(G184)="Y",TRIM(G184)="yes"),"Yes","No")</f>
        <v>Yes</v>
      </c>
      <c r="I184" s="1" t="s">
        <v>9</v>
      </c>
      <c r="J184" s="1" t="str">
        <f>IF(OR(TRIM(I184)="Yes",TRIM(I184)="YES",TRIM(I184)="Y",TRIM(I184)="yes"),"Yes","No")</f>
        <v>No</v>
      </c>
      <c r="K184" s="1" t="s">
        <v>29</v>
      </c>
      <c r="L184" s="1" t="str">
        <f>IF(C184="","Yes","No")</f>
        <v>Yes</v>
      </c>
      <c r="M184" s="1" t="str">
        <f>IF(C184="", "", C184 - B184)</f>
        <v/>
      </c>
      <c r="N184" s="3">
        <f>DATE(YEAR(B184),MONTH(B184),1)</f>
        <v>45717</v>
      </c>
      <c r="O184" s="2">
        <f>DATE(YEAR(B184),MONTH(B184),1)</f>
        <v>45717</v>
      </c>
    </row>
    <row r="185" spans="1:15" x14ac:dyDescent="0.2">
      <c r="A185" s="1" t="s">
        <v>219</v>
      </c>
      <c r="B185" s="3">
        <v>45571</v>
      </c>
      <c r="C185" s="3">
        <v>45572</v>
      </c>
      <c r="D185" s="1" t="s">
        <v>27</v>
      </c>
      <c r="E185" s="1" t="str">
        <f>UPPER(TRIM(D185))</f>
        <v>SERVICE DELAY</v>
      </c>
      <c r="F185" s="1" t="s">
        <v>21</v>
      </c>
      <c r="G185" s="1" t="s">
        <v>0</v>
      </c>
      <c r="H185" s="1" t="str">
        <f>IF(OR(TRIM(G185)="Yes",TRIM(G185)="YES",TRIM(G185)="Y",TRIM(G185)="yes"),"Yes","No")</f>
        <v>Yes</v>
      </c>
      <c r="I185" s="1" t="s">
        <v>16</v>
      </c>
      <c r="J185" s="1" t="str">
        <f>IF(OR(TRIM(I185)="Yes",TRIM(I185)="YES",TRIM(I185)="Y",TRIM(I185)="yes"),"Yes","No")</f>
        <v>No</v>
      </c>
      <c r="K185" s="1" t="s">
        <v>15</v>
      </c>
      <c r="L185" s="1" t="str">
        <f>IF(C185="","Yes","No")</f>
        <v>No</v>
      </c>
      <c r="M185" s="1">
        <f>IF(C185="", "", C185 - B185)</f>
        <v>1</v>
      </c>
      <c r="N185" s="3">
        <f>DATE(YEAR(B185),MONTH(B185),1)</f>
        <v>45566</v>
      </c>
      <c r="O185" s="2">
        <f>DATE(YEAR(B185),MONTH(B185),1)</f>
        <v>45566</v>
      </c>
    </row>
    <row r="186" spans="1:15" x14ac:dyDescent="0.2">
      <c r="A186" s="1" t="s">
        <v>111</v>
      </c>
      <c r="B186" s="3">
        <v>45597</v>
      </c>
      <c r="D186" s="1" t="s">
        <v>22</v>
      </c>
      <c r="E186" s="1" t="str">
        <f>UPPER(TRIM(D186))</f>
        <v>BILLING ISSUE</v>
      </c>
      <c r="F186" s="1" t="s">
        <v>18</v>
      </c>
      <c r="G186" s="1" t="s">
        <v>0</v>
      </c>
      <c r="H186" s="1" t="str">
        <f>IF(OR(TRIM(G186)="Yes",TRIM(G186)="YES",TRIM(G186)="Y",TRIM(G186)="yes"),"Yes","No")</f>
        <v>Yes</v>
      </c>
      <c r="I186" s="1" t="s">
        <v>16</v>
      </c>
      <c r="J186" s="1" t="str">
        <f>IF(OR(TRIM(I186)="Yes",TRIM(I186)="YES",TRIM(I186)="Y",TRIM(I186)="yes"),"Yes","No")</f>
        <v>No</v>
      </c>
      <c r="L186" s="1" t="str">
        <f>IF(C186="","Yes","No")</f>
        <v>Yes</v>
      </c>
      <c r="M186" s="1" t="str">
        <f>IF(C186="", "", C186 - B186)</f>
        <v/>
      </c>
      <c r="N186" s="3">
        <f>DATE(YEAR(B186),MONTH(B186),1)</f>
        <v>45597</v>
      </c>
      <c r="O186" s="2">
        <f>DATE(YEAR(B186),MONTH(B186),1)</f>
        <v>45597</v>
      </c>
    </row>
    <row r="187" spans="1:15" x14ac:dyDescent="0.2">
      <c r="A187" s="1" t="s">
        <v>32</v>
      </c>
      <c r="B187" s="3">
        <v>45646</v>
      </c>
      <c r="C187" s="3">
        <v>45656</v>
      </c>
      <c r="D187" s="1" t="s">
        <v>24</v>
      </c>
      <c r="E187" s="1" t="str">
        <f>UPPER(TRIM(D187))</f>
        <v>BILLING ISSUE</v>
      </c>
      <c r="G187" s="1" t="s">
        <v>1</v>
      </c>
      <c r="H187" s="1" t="str">
        <f>IF(OR(TRIM(G187)="Yes",TRIM(G187)="YES",TRIM(G187)="Y",TRIM(G187)="yes"),"Yes","No")</f>
        <v>Yes</v>
      </c>
      <c r="I187" s="1" t="s">
        <v>9</v>
      </c>
      <c r="J187" s="1" t="str">
        <f>IF(OR(TRIM(I187)="Yes",TRIM(I187)="YES",TRIM(I187)="Y",TRIM(I187)="yes"),"Yes","No")</f>
        <v>No</v>
      </c>
      <c r="L187" s="1" t="str">
        <f>IF(C187="","Yes","No")</f>
        <v>No</v>
      </c>
      <c r="M187" s="1">
        <f>IF(C187="", "", C187 - B187)</f>
        <v>10</v>
      </c>
      <c r="N187" s="3">
        <f>DATE(YEAR(B187),MONTH(B187),1)</f>
        <v>45627</v>
      </c>
      <c r="O187" s="2">
        <f>DATE(YEAR(B187),MONTH(B187),1)</f>
        <v>45627</v>
      </c>
    </row>
    <row r="188" spans="1:15" x14ac:dyDescent="0.2">
      <c r="A188" s="1" t="s">
        <v>218</v>
      </c>
      <c r="B188" s="3">
        <v>45729</v>
      </c>
      <c r="D188" s="1" t="s">
        <v>10</v>
      </c>
      <c r="E188" s="1" t="str">
        <f>UPPER(TRIM(D188))</f>
        <v>POLICY UPDATE</v>
      </c>
      <c r="G188" s="1" t="s">
        <v>16</v>
      </c>
      <c r="H188" s="1" t="str">
        <f>IF(OR(TRIM(G188)="Yes",TRIM(G188)="YES",TRIM(G188)="Y",TRIM(G188)="yes"),"Yes","No")</f>
        <v>No</v>
      </c>
      <c r="I188" s="1" t="s">
        <v>16</v>
      </c>
      <c r="J188" s="1" t="str">
        <f>IF(OR(TRIM(I188)="Yes",TRIM(I188)="YES",TRIM(I188)="Y",TRIM(I188)="yes"),"Yes","No")</f>
        <v>No</v>
      </c>
      <c r="L188" s="1" t="str">
        <f>IF(C188="","Yes","No")</f>
        <v>Yes</v>
      </c>
      <c r="M188" s="1" t="str">
        <f>IF(C188="", "", C188 - B188)</f>
        <v/>
      </c>
      <c r="N188" s="3">
        <f>DATE(YEAR(B188),MONTH(B188),1)</f>
        <v>45717</v>
      </c>
      <c r="O188" s="2">
        <f>DATE(YEAR(B188),MONTH(B188),1)</f>
        <v>45717</v>
      </c>
    </row>
    <row r="189" spans="1:15" x14ac:dyDescent="0.2">
      <c r="A189" s="1" t="s">
        <v>217</v>
      </c>
      <c r="B189" s="3">
        <v>45759</v>
      </c>
      <c r="C189" s="3">
        <v>45778</v>
      </c>
      <c r="D189" s="1" t="s">
        <v>35</v>
      </c>
      <c r="E189" s="1" t="str">
        <f>UPPER(TRIM(D189))</f>
        <v>DOCUMENTATION ERROR</v>
      </c>
      <c r="F189" s="1" t="s">
        <v>18</v>
      </c>
      <c r="G189" s="1" t="s">
        <v>16</v>
      </c>
      <c r="H189" s="1" t="str">
        <f>IF(OR(TRIM(G189)="Yes",TRIM(G189)="YES",TRIM(G189)="Y",TRIM(G189)="yes"),"Yes","No")</f>
        <v>No</v>
      </c>
      <c r="I189" s="1" t="s">
        <v>9</v>
      </c>
      <c r="J189" s="1" t="str">
        <f>IF(OR(TRIM(I189)="Yes",TRIM(I189)="YES",TRIM(I189)="Y",TRIM(I189)="yes"),"Yes","No")</f>
        <v>No</v>
      </c>
      <c r="L189" s="1" t="str">
        <f>IF(C189="","Yes","No")</f>
        <v>No</v>
      </c>
      <c r="M189" s="1">
        <f>IF(C189="", "", C189 - B189)</f>
        <v>19</v>
      </c>
      <c r="N189" s="3">
        <f>DATE(YEAR(B189),MONTH(B189),1)</f>
        <v>45748</v>
      </c>
      <c r="O189" s="2">
        <f>DATE(YEAR(B189),MONTH(B189),1)</f>
        <v>45748</v>
      </c>
    </row>
    <row r="190" spans="1:15" x14ac:dyDescent="0.2">
      <c r="A190" s="1" t="s">
        <v>216</v>
      </c>
      <c r="B190" s="3">
        <v>45729</v>
      </c>
      <c r="C190" s="3">
        <v>45732</v>
      </c>
      <c r="D190" s="1" t="s">
        <v>19</v>
      </c>
      <c r="E190" s="1" t="str">
        <f>UPPER(TRIM(D190))</f>
        <v>DOC ERROR</v>
      </c>
      <c r="G190" s="1" t="s">
        <v>12</v>
      </c>
      <c r="H190" s="1" t="str">
        <f>IF(OR(TRIM(G190)="Yes",TRIM(G190)="YES",TRIM(G190)="Y",TRIM(G190)="yes"),"Yes","No")</f>
        <v>No</v>
      </c>
      <c r="I190" s="1" t="s">
        <v>9</v>
      </c>
      <c r="J190" s="1" t="str">
        <f>IF(OR(TRIM(I190)="Yes",TRIM(I190)="YES",TRIM(I190)="Y",TRIM(I190)="yes"),"Yes","No")</f>
        <v>No</v>
      </c>
      <c r="K190" s="1" t="s">
        <v>5</v>
      </c>
      <c r="L190" s="1" t="str">
        <f>IF(C190="","Yes","No")</f>
        <v>No</v>
      </c>
      <c r="M190" s="1">
        <f>IF(C190="", "", C190 - B190)</f>
        <v>3</v>
      </c>
      <c r="N190" s="3">
        <f>DATE(YEAR(B190),MONTH(B190),1)</f>
        <v>45717</v>
      </c>
      <c r="O190" s="2">
        <f>DATE(YEAR(B190),MONTH(B190),1)</f>
        <v>45717</v>
      </c>
    </row>
    <row r="191" spans="1:15" x14ac:dyDescent="0.2">
      <c r="A191" s="1" t="s">
        <v>215</v>
      </c>
      <c r="B191" s="3">
        <v>45579</v>
      </c>
      <c r="C191" s="3">
        <v>45583</v>
      </c>
      <c r="D191" s="1" t="s">
        <v>19</v>
      </c>
      <c r="E191" s="1" t="str">
        <f>UPPER(TRIM(D191))</f>
        <v>DOC ERROR</v>
      </c>
      <c r="G191" s="1" t="s">
        <v>47</v>
      </c>
      <c r="H191" s="1" t="str">
        <f>IF(OR(TRIM(G191)="Yes",TRIM(G191)="YES",TRIM(G191)="Y",TRIM(G191)="yes"),"Yes","No")</f>
        <v>Yes</v>
      </c>
      <c r="J191" s="1" t="str">
        <f>IF(OR(TRIM(I191)="Yes",TRIM(I191)="YES",TRIM(I191)="Y",TRIM(I191)="yes"),"Yes","No")</f>
        <v>No</v>
      </c>
      <c r="K191" s="1" t="s">
        <v>29</v>
      </c>
      <c r="L191" s="1" t="str">
        <f>IF(C191="","Yes","No")</f>
        <v>No</v>
      </c>
      <c r="M191" s="1">
        <f>IF(C191="", "", C191 - B191)</f>
        <v>4</v>
      </c>
      <c r="N191" s="3">
        <f>DATE(YEAR(B191),MONTH(B191),1)</f>
        <v>45566</v>
      </c>
      <c r="O191" s="2">
        <f>DATE(YEAR(B191),MONTH(B191),1)</f>
        <v>45566</v>
      </c>
    </row>
    <row r="192" spans="1:15" x14ac:dyDescent="0.2">
      <c r="A192" s="1" t="s">
        <v>25</v>
      </c>
      <c r="B192" s="3">
        <v>45660</v>
      </c>
      <c r="C192" s="3">
        <v>45667</v>
      </c>
      <c r="D192" s="1" t="s">
        <v>44</v>
      </c>
      <c r="E192" s="1" t="str">
        <f>UPPER(TRIM(D192))</f>
        <v>COMMUNICATION DELAY</v>
      </c>
      <c r="F192" s="1" t="s">
        <v>2</v>
      </c>
      <c r="H192" s="1" t="str">
        <f>IF(OR(TRIM(G192)="Yes",TRIM(G192)="YES",TRIM(G192)="Y",TRIM(G192)="yes"),"Yes","No")</f>
        <v>No</v>
      </c>
      <c r="J192" s="1" t="str">
        <f>IF(OR(TRIM(I192)="Yes",TRIM(I192)="YES",TRIM(I192)="Y",TRIM(I192)="yes"),"Yes","No")</f>
        <v>No</v>
      </c>
      <c r="L192" s="1" t="str">
        <f>IF(C192="","Yes","No")</f>
        <v>No</v>
      </c>
      <c r="M192" s="1">
        <f>IF(C192="", "", C192 - B192)</f>
        <v>7</v>
      </c>
      <c r="N192" s="3">
        <f>DATE(YEAR(B192),MONTH(B192),1)</f>
        <v>45658</v>
      </c>
      <c r="O192" s="2">
        <f>DATE(YEAR(B192),MONTH(B192),1)</f>
        <v>45658</v>
      </c>
    </row>
    <row r="193" spans="1:15" x14ac:dyDescent="0.2">
      <c r="A193" s="1" t="s">
        <v>197</v>
      </c>
      <c r="B193" s="3">
        <v>45649</v>
      </c>
      <c r="C193" s="3">
        <v>45668</v>
      </c>
      <c r="D193" s="1" t="s">
        <v>33</v>
      </c>
      <c r="E193" s="1" t="str">
        <f>UPPER(TRIM(D193))</f>
        <v>POLICY UPDATE</v>
      </c>
      <c r="F193" s="1" t="s">
        <v>18</v>
      </c>
      <c r="H193" s="1" t="str">
        <f>IF(OR(TRIM(G193)="Yes",TRIM(G193)="YES",TRIM(G193)="Y",TRIM(G193)="yes"),"Yes","No")</f>
        <v>No</v>
      </c>
      <c r="I193" s="1" t="s">
        <v>16</v>
      </c>
      <c r="J193" s="1" t="str">
        <f>IF(OR(TRIM(I193)="Yes",TRIM(I193)="YES",TRIM(I193)="Y",TRIM(I193)="yes"),"Yes","No")</f>
        <v>No</v>
      </c>
      <c r="L193" s="1" t="str">
        <f>IF(C193="","Yes","No")</f>
        <v>No</v>
      </c>
      <c r="M193" s="1">
        <f>IF(C193="", "", C193 - B193)</f>
        <v>19</v>
      </c>
      <c r="N193" s="3">
        <f>DATE(YEAR(B193),MONTH(B193),1)</f>
        <v>45627</v>
      </c>
      <c r="O193" s="2">
        <f>DATE(YEAR(B193),MONTH(B193),1)</f>
        <v>45627</v>
      </c>
    </row>
    <row r="194" spans="1:15" x14ac:dyDescent="0.2">
      <c r="A194" s="1" t="s">
        <v>212</v>
      </c>
      <c r="B194" s="3">
        <v>45732</v>
      </c>
      <c r="C194" s="3">
        <v>45738</v>
      </c>
      <c r="D194" s="1" t="s">
        <v>33</v>
      </c>
      <c r="E194" s="1" t="str">
        <f>UPPER(TRIM(D194))</f>
        <v>POLICY UPDATE</v>
      </c>
      <c r="G194" s="1" t="s">
        <v>47</v>
      </c>
      <c r="H194" s="1" t="str">
        <f>IF(OR(TRIM(G194)="Yes",TRIM(G194)="YES",TRIM(G194)="Y",TRIM(G194)="yes"),"Yes","No")</f>
        <v>Yes</v>
      </c>
      <c r="I194" s="1" t="s">
        <v>1</v>
      </c>
      <c r="J194" s="1" t="str">
        <f>IF(OR(TRIM(I194)="Yes",TRIM(I194)="YES",TRIM(I194)="Y",TRIM(I194)="yes"),"Yes","No")</f>
        <v>Yes</v>
      </c>
      <c r="K194" s="1" t="s">
        <v>5</v>
      </c>
      <c r="L194" s="1" t="str">
        <f>IF(C194="","Yes","No")</f>
        <v>No</v>
      </c>
      <c r="M194" s="1">
        <f>IF(C194="", "", C194 - B194)</f>
        <v>6</v>
      </c>
      <c r="N194" s="3">
        <f>DATE(YEAR(B194),MONTH(B194),1)</f>
        <v>45717</v>
      </c>
      <c r="O194" s="2">
        <f>DATE(YEAR(B194),MONTH(B194),1)</f>
        <v>45717</v>
      </c>
    </row>
    <row r="195" spans="1:15" x14ac:dyDescent="0.2">
      <c r="A195" s="1" t="s">
        <v>199</v>
      </c>
      <c r="B195" s="3">
        <v>45687</v>
      </c>
      <c r="C195" s="3">
        <v>45705</v>
      </c>
      <c r="D195" s="1" t="s">
        <v>19</v>
      </c>
      <c r="E195" s="1" t="str">
        <f>UPPER(TRIM(D195))</f>
        <v>DOC ERROR</v>
      </c>
      <c r="G195" s="1" t="s">
        <v>12</v>
      </c>
      <c r="H195" s="1" t="str">
        <f>IF(OR(TRIM(G195)="Yes",TRIM(G195)="YES",TRIM(G195)="Y",TRIM(G195)="yes"),"Yes","No")</f>
        <v>No</v>
      </c>
      <c r="I195" s="1" t="s">
        <v>16</v>
      </c>
      <c r="J195" s="1" t="str">
        <f>IF(OR(TRIM(I195)="Yes",TRIM(I195)="YES",TRIM(I195)="Y",TRIM(I195)="yes"),"Yes","No")</f>
        <v>No</v>
      </c>
      <c r="L195" s="1" t="str">
        <f>IF(C195="","Yes","No")</f>
        <v>No</v>
      </c>
      <c r="M195" s="1">
        <f>IF(C195="", "", C195 - B195)</f>
        <v>18</v>
      </c>
      <c r="N195" s="3">
        <f>DATE(YEAR(B195),MONTH(B195),1)</f>
        <v>45658</v>
      </c>
      <c r="O195" s="2">
        <f>DATE(YEAR(B195),MONTH(B195),1)</f>
        <v>45658</v>
      </c>
    </row>
    <row r="196" spans="1:15" x14ac:dyDescent="0.2">
      <c r="A196" s="1" t="s">
        <v>90</v>
      </c>
      <c r="B196" s="3">
        <v>45645</v>
      </c>
      <c r="D196" s="1" t="s">
        <v>7</v>
      </c>
      <c r="E196" s="1" t="str">
        <f>UPPER(TRIM(D196))</f>
        <v>BILLING ISSUE</v>
      </c>
      <c r="F196" s="1" t="s">
        <v>6</v>
      </c>
      <c r="G196" s="1" t="s">
        <v>47</v>
      </c>
      <c r="H196" s="1" t="str">
        <f>IF(OR(TRIM(G196)="Yes",TRIM(G196)="YES",TRIM(G196)="Y",TRIM(G196)="yes"),"Yes","No")</f>
        <v>Yes</v>
      </c>
      <c r="I196" s="1" t="s">
        <v>1</v>
      </c>
      <c r="J196" s="1" t="str">
        <f>IF(OR(TRIM(I196)="Yes",TRIM(I196)="YES",TRIM(I196)="Y",TRIM(I196)="yes"),"Yes","No")</f>
        <v>Yes</v>
      </c>
      <c r="L196" s="1" t="str">
        <f>IF(C196="","Yes","No")</f>
        <v>Yes</v>
      </c>
      <c r="M196" s="1" t="str">
        <f>IF(C196="", "", C196 - B196)</f>
        <v/>
      </c>
      <c r="N196" s="3">
        <f>DATE(YEAR(B196),MONTH(B196),1)</f>
        <v>45627</v>
      </c>
      <c r="O196" s="2">
        <f>DATE(YEAR(B196),MONTH(B196),1)</f>
        <v>45627</v>
      </c>
    </row>
    <row r="197" spans="1:15" x14ac:dyDescent="0.2">
      <c r="A197" s="1" t="s">
        <v>214</v>
      </c>
      <c r="B197" s="3">
        <v>45760</v>
      </c>
      <c r="C197" s="3">
        <v>45769</v>
      </c>
      <c r="D197" s="1" t="s">
        <v>19</v>
      </c>
      <c r="E197" s="1" t="str">
        <f>UPPER(TRIM(D197))</f>
        <v>DOC ERROR</v>
      </c>
      <c r="F197" s="1" t="s">
        <v>2</v>
      </c>
      <c r="G197" s="1" t="s">
        <v>0</v>
      </c>
      <c r="H197" s="1" t="str">
        <f>IF(OR(TRIM(G197)="Yes",TRIM(G197)="YES",TRIM(G197)="Y",TRIM(G197)="yes"),"Yes","No")</f>
        <v>Yes</v>
      </c>
      <c r="I197" s="1" t="s">
        <v>16</v>
      </c>
      <c r="J197" s="1" t="str">
        <f>IF(OR(TRIM(I197)="Yes",TRIM(I197)="YES",TRIM(I197)="Y",TRIM(I197)="yes"),"Yes","No")</f>
        <v>No</v>
      </c>
      <c r="K197" s="1" t="s">
        <v>5</v>
      </c>
      <c r="L197" s="1" t="str">
        <f>IF(C197="","Yes","No")</f>
        <v>No</v>
      </c>
      <c r="M197" s="1">
        <f>IF(C197="", "", C197 - B197)</f>
        <v>9</v>
      </c>
      <c r="N197" s="3">
        <f>DATE(YEAR(B197),MONTH(B197),1)</f>
        <v>45748</v>
      </c>
      <c r="O197" s="2">
        <f>DATE(YEAR(B197),MONTH(B197),1)</f>
        <v>45748</v>
      </c>
    </row>
    <row r="198" spans="1:15" x14ac:dyDescent="0.2">
      <c r="A198" s="1" t="s">
        <v>121</v>
      </c>
      <c r="B198" s="3">
        <v>45636</v>
      </c>
      <c r="C198" s="3">
        <v>45646</v>
      </c>
      <c r="D198" s="1" t="s">
        <v>44</v>
      </c>
      <c r="E198" s="1" t="str">
        <f>UPPER(TRIM(D198))</f>
        <v>COMMUNICATION DELAY</v>
      </c>
      <c r="F198" s="1" t="s">
        <v>18</v>
      </c>
      <c r="G198" s="1" t="s">
        <v>9</v>
      </c>
      <c r="H198" s="1" t="str">
        <f>IF(OR(TRIM(G198)="Yes",TRIM(G198)="YES",TRIM(G198)="Y",TRIM(G198)="yes"),"Yes","No")</f>
        <v>No</v>
      </c>
      <c r="I198" s="1" t="s">
        <v>0</v>
      </c>
      <c r="J198" s="1" t="str">
        <f>IF(OR(TRIM(I198)="Yes",TRIM(I198)="YES",TRIM(I198)="Y",TRIM(I198)="yes"),"Yes","No")</f>
        <v>Yes</v>
      </c>
      <c r="L198" s="1" t="str">
        <f>IF(C198="","Yes","No")</f>
        <v>No</v>
      </c>
      <c r="M198" s="1">
        <f>IF(C198="", "", C198 - B198)</f>
        <v>10</v>
      </c>
      <c r="N198" s="3">
        <f>DATE(YEAR(B198),MONTH(B198),1)</f>
        <v>45627</v>
      </c>
      <c r="O198" s="2">
        <f>DATE(YEAR(B198),MONTH(B198),1)</f>
        <v>45627</v>
      </c>
    </row>
    <row r="199" spans="1:15" x14ac:dyDescent="0.2">
      <c r="A199" s="1" t="s">
        <v>168</v>
      </c>
      <c r="B199" s="3">
        <v>45630</v>
      </c>
      <c r="C199" s="3">
        <v>45649</v>
      </c>
      <c r="D199" s="1" t="s">
        <v>33</v>
      </c>
      <c r="E199" s="1" t="str">
        <f>UPPER(TRIM(D199))</f>
        <v>POLICY UPDATE</v>
      </c>
      <c r="F199" s="1" t="s">
        <v>21</v>
      </c>
      <c r="G199" s="1" t="s">
        <v>12</v>
      </c>
      <c r="H199" s="1" t="str">
        <f>IF(OR(TRIM(G199)="Yes",TRIM(G199)="YES",TRIM(G199)="Y",TRIM(G199)="yes"),"Yes","No")</f>
        <v>No</v>
      </c>
      <c r="J199" s="1" t="str">
        <f>IF(OR(TRIM(I199)="Yes",TRIM(I199)="YES",TRIM(I199)="Y",TRIM(I199)="yes"),"Yes","No")</f>
        <v>No</v>
      </c>
      <c r="L199" s="1" t="str">
        <f>IF(C199="","Yes","No")</f>
        <v>No</v>
      </c>
      <c r="M199" s="1">
        <f>IF(C199="", "", C199 - B199)</f>
        <v>19</v>
      </c>
      <c r="N199" s="3">
        <f>DATE(YEAR(B199),MONTH(B199),1)</f>
        <v>45627</v>
      </c>
      <c r="O199" s="2">
        <f>DATE(YEAR(B199),MONTH(B199),1)</f>
        <v>45627</v>
      </c>
    </row>
    <row r="200" spans="1:15" x14ac:dyDescent="0.2">
      <c r="A200" s="1" t="s">
        <v>123</v>
      </c>
      <c r="B200" s="3">
        <v>45719</v>
      </c>
      <c r="C200" s="3">
        <v>45727</v>
      </c>
      <c r="D200" s="1" t="s">
        <v>35</v>
      </c>
      <c r="E200" s="1" t="str">
        <f>UPPER(TRIM(D200))</f>
        <v>DOCUMENTATION ERROR</v>
      </c>
      <c r="F200" s="1" t="s">
        <v>18</v>
      </c>
      <c r="G200" s="1" t="s">
        <v>12</v>
      </c>
      <c r="H200" s="1" t="str">
        <f>IF(OR(TRIM(G200)="Yes",TRIM(G200)="YES",TRIM(G200)="Y",TRIM(G200)="yes"),"Yes","No")</f>
        <v>No</v>
      </c>
      <c r="I200" s="1" t="s">
        <v>0</v>
      </c>
      <c r="J200" s="1" t="str">
        <f>IF(OR(TRIM(I200)="Yes",TRIM(I200)="YES",TRIM(I200)="Y",TRIM(I200)="yes"),"Yes","No")</f>
        <v>Yes</v>
      </c>
      <c r="L200" s="1" t="str">
        <f>IF(C200="","Yes","No")</f>
        <v>No</v>
      </c>
      <c r="M200" s="1">
        <f>IF(C200="", "", C200 - B200)</f>
        <v>8</v>
      </c>
      <c r="N200" s="3">
        <f>DATE(YEAR(B200),MONTH(B200),1)</f>
        <v>45717</v>
      </c>
      <c r="O200" s="2">
        <f>DATE(YEAR(B200),MONTH(B200),1)</f>
        <v>45717</v>
      </c>
    </row>
    <row r="201" spans="1:15" x14ac:dyDescent="0.2">
      <c r="A201" s="1" t="s">
        <v>173</v>
      </c>
      <c r="B201" s="3">
        <v>45701</v>
      </c>
      <c r="C201" s="3">
        <v>45718</v>
      </c>
      <c r="D201" s="1" t="s">
        <v>7</v>
      </c>
      <c r="E201" s="1" t="str">
        <f>UPPER(TRIM(D201))</f>
        <v>BILLING ISSUE</v>
      </c>
      <c r="F201" s="1" t="s">
        <v>2</v>
      </c>
      <c r="G201" s="1" t="s">
        <v>12</v>
      </c>
      <c r="H201" s="1" t="str">
        <f>IF(OR(TRIM(G201)="Yes",TRIM(G201)="YES",TRIM(G201)="Y",TRIM(G201)="yes"),"Yes","No")</f>
        <v>No</v>
      </c>
      <c r="J201" s="1" t="str">
        <f>IF(OR(TRIM(I201)="Yes",TRIM(I201)="YES",TRIM(I201)="Y",TRIM(I201)="yes"),"Yes","No")</f>
        <v>No</v>
      </c>
      <c r="K201" s="1" t="s">
        <v>5</v>
      </c>
      <c r="L201" s="1" t="str">
        <f>IF(C201="","Yes","No")</f>
        <v>No</v>
      </c>
      <c r="M201" s="1">
        <f>IF(C201="", "", C201 - B201)</f>
        <v>17</v>
      </c>
      <c r="N201" s="3">
        <f>DATE(YEAR(B201),MONTH(B201),1)</f>
        <v>45689</v>
      </c>
      <c r="O201" s="2">
        <f>DATE(YEAR(B201),MONTH(B201),1)</f>
        <v>45689</v>
      </c>
    </row>
    <row r="202" spans="1:15" x14ac:dyDescent="0.2">
      <c r="A202" s="1" t="s">
        <v>213</v>
      </c>
      <c r="B202" s="3">
        <v>45747</v>
      </c>
      <c r="D202" s="1" t="s">
        <v>44</v>
      </c>
      <c r="E202" s="1" t="str">
        <f>UPPER(TRIM(D202))</f>
        <v>COMMUNICATION DELAY</v>
      </c>
      <c r="F202" s="1" t="s">
        <v>21</v>
      </c>
      <c r="G202" s="1" t="s">
        <v>9</v>
      </c>
      <c r="H202" s="1" t="str">
        <f>IF(OR(TRIM(G202)="Yes",TRIM(G202)="YES",TRIM(G202)="Y",TRIM(G202)="yes"),"Yes","No")</f>
        <v>No</v>
      </c>
      <c r="J202" s="1" t="str">
        <f>IF(OR(TRIM(I202)="Yes",TRIM(I202)="YES",TRIM(I202)="Y",TRIM(I202)="yes"),"Yes","No")</f>
        <v>No</v>
      </c>
      <c r="K202" s="1" t="s">
        <v>5</v>
      </c>
      <c r="L202" s="1" t="str">
        <f>IF(C202="","Yes","No")</f>
        <v>Yes</v>
      </c>
      <c r="M202" s="1" t="str">
        <f>IF(C202="", "", C202 - B202)</f>
        <v/>
      </c>
      <c r="N202" s="3">
        <f>DATE(YEAR(B202),MONTH(B202),1)</f>
        <v>45717</v>
      </c>
      <c r="O202" s="2">
        <f>DATE(YEAR(B202),MONTH(B202),1)</f>
        <v>45717</v>
      </c>
    </row>
    <row r="203" spans="1:15" x14ac:dyDescent="0.2">
      <c r="A203" s="1" t="s">
        <v>212</v>
      </c>
      <c r="B203" s="3">
        <v>45713</v>
      </c>
      <c r="C203" s="3">
        <v>45728</v>
      </c>
      <c r="D203" s="1" t="s">
        <v>7</v>
      </c>
      <c r="E203" s="1" t="str">
        <f>UPPER(TRIM(D203))</f>
        <v>BILLING ISSUE</v>
      </c>
      <c r="G203" s="1" t="s">
        <v>9</v>
      </c>
      <c r="H203" s="1" t="str">
        <f>IF(OR(TRIM(G203)="Yes",TRIM(G203)="YES",TRIM(G203)="Y",TRIM(G203)="yes"),"Yes","No")</f>
        <v>No</v>
      </c>
      <c r="I203" s="1" t="s">
        <v>16</v>
      </c>
      <c r="J203" s="1" t="str">
        <f>IF(OR(TRIM(I203)="Yes",TRIM(I203)="YES",TRIM(I203)="Y",TRIM(I203)="yes"),"Yes","No")</f>
        <v>No</v>
      </c>
      <c r="L203" s="1" t="str">
        <f>IF(C203="","Yes","No")</f>
        <v>No</v>
      </c>
      <c r="M203" s="1">
        <f>IF(C203="", "", C203 - B203)</f>
        <v>15</v>
      </c>
      <c r="N203" s="3">
        <f>DATE(YEAR(B203),MONTH(B203),1)</f>
        <v>45689</v>
      </c>
      <c r="O203" s="2">
        <f>DATE(YEAR(B203),MONTH(B203),1)</f>
        <v>45689</v>
      </c>
    </row>
    <row r="204" spans="1:15" x14ac:dyDescent="0.2">
      <c r="A204" s="1" t="s">
        <v>211</v>
      </c>
      <c r="B204" s="3">
        <v>45614</v>
      </c>
      <c r="C204" s="3">
        <v>45615</v>
      </c>
      <c r="D204" s="1" t="s">
        <v>27</v>
      </c>
      <c r="E204" s="1" t="str">
        <f>UPPER(TRIM(D204))</f>
        <v>SERVICE DELAY</v>
      </c>
      <c r="F204" s="1" t="s">
        <v>21</v>
      </c>
      <c r="G204" s="1" t="s">
        <v>0</v>
      </c>
      <c r="H204" s="1" t="str">
        <f>IF(OR(TRIM(G204)="Yes",TRIM(G204)="YES",TRIM(G204)="Y",TRIM(G204)="yes"),"Yes","No")</f>
        <v>Yes</v>
      </c>
      <c r="I204" s="1" t="s">
        <v>0</v>
      </c>
      <c r="J204" s="1" t="str">
        <f>IF(OR(TRIM(I204)="Yes",TRIM(I204)="YES",TRIM(I204)="Y",TRIM(I204)="yes"),"Yes","No")</f>
        <v>Yes</v>
      </c>
      <c r="K204" s="1" t="s">
        <v>29</v>
      </c>
      <c r="L204" s="1" t="str">
        <f>IF(C204="","Yes","No")</f>
        <v>No</v>
      </c>
      <c r="M204" s="1">
        <f>IF(C204="", "", C204 - B204)</f>
        <v>1</v>
      </c>
      <c r="N204" s="3">
        <f>DATE(YEAR(B204),MONTH(B204),1)</f>
        <v>45597</v>
      </c>
      <c r="O204" s="2">
        <f>DATE(YEAR(B204),MONTH(B204),1)</f>
        <v>45597</v>
      </c>
    </row>
    <row r="205" spans="1:15" x14ac:dyDescent="0.2">
      <c r="A205" s="1" t="s">
        <v>57</v>
      </c>
      <c r="B205" s="3">
        <v>45688</v>
      </c>
      <c r="C205" s="3">
        <v>45692</v>
      </c>
      <c r="D205" s="1" t="s">
        <v>3</v>
      </c>
      <c r="E205" s="1" t="str">
        <f>UPPER(TRIM(D205))</f>
        <v>COMMUNICATION DELAY</v>
      </c>
      <c r="G205" s="1" t="s">
        <v>1</v>
      </c>
      <c r="H205" s="1" t="str">
        <f>IF(OR(TRIM(G205)="Yes",TRIM(G205)="YES",TRIM(G205)="Y",TRIM(G205)="yes"),"Yes","No")</f>
        <v>Yes</v>
      </c>
      <c r="I205" s="1" t="s">
        <v>0</v>
      </c>
      <c r="J205" s="1" t="str">
        <f>IF(OR(TRIM(I205)="Yes",TRIM(I205)="YES",TRIM(I205)="Y",TRIM(I205)="yes"),"Yes","No")</f>
        <v>Yes</v>
      </c>
      <c r="K205" s="1" t="s">
        <v>5</v>
      </c>
      <c r="L205" s="1" t="str">
        <f>IF(C205="","Yes","No")</f>
        <v>No</v>
      </c>
      <c r="M205" s="1">
        <f>IF(C205="", "", C205 - B205)</f>
        <v>4</v>
      </c>
      <c r="N205" s="3">
        <f>DATE(YEAR(B205),MONTH(B205),1)</f>
        <v>45658</v>
      </c>
      <c r="O205" s="2">
        <f>DATE(YEAR(B205),MONTH(B205),1)</f>
        <v>45658</v>
      </c>
    </row>
    <row r="206" spans="1:15" x14ac:dyDescent="0.2">
      <c r="A206" s="1" t="s">
        <v>210</v>
      </c>
      <c r="B206" s="3">
        <v>45709</v>
      </c>
      <c r="C206" s="3">
        <v>45718</v>
      </c>
      <c r="D206" s="1" t="s">
        <v>19</v>
      </c>
      <c r="E206" s="1" t="str">
        <f>UPPER(TRIM(D206))</f>
        <v>DOC ERROR</v>
      </c>
      <c r="F206" s="1" t="s">
        <v>2</v>
      </c>
      <c r="G206" s="1" t="s">
        <v>9</v>
      </c>
      <c r="H206" s="1" t="str">
        <f>IF(OR(TRIM(G206)="Yes",TRIM(G206)="YES",TRIM(G206)="Y",TRIM(G206)="yes"),"Yes","No")</f>
        <v>No</v>
      </c>
      <c r="I206" s="1" t="s">
        <v>1</v>
      </c>
      <c r="J206" s="1" t="str">
        <f>IF(OR(TRIM(I206)="Yes",TRIM(I206)="YES",TRIM(I206)="Y",TRIM(I206)="yes"),"Yes","No")</f>
        <v>Yes</v>
      </c>
      <c r="L206" s="1" t="str">
        <f>IF(C206="","Yes","No")</f>
        <v>No</v>
      </c>
      <c r="M206" s="1">
        <f>IF(C206="", "", C206 - B206)</f>
        <v>9</v>
      </c>
      <c r="N206" s="3">
        <f>DATE(YEAR(B206),MONTH(B206),1)</f>
        <v>45689</v>
      </c>
      <c r="O206" s="2">
        <f>DATE(YEAR(B206),MONTH(B206),1)</f>
        <v>45689</v>
      </c>
    </row>
    <row r="207" spans="1:15" x14ac:dyDescent="0.2">
      <c r="A207" s="1" t="s">
        <v>209</v>
      </c>
      <c r="B207" s="3">
        <v>45764</v>
      </c>
      <c r="D207" s="1" t="s">
        <v>7</v>
      </c>
      <c r="E207" s="1" t="str">
        <f>UPPER(TRIM(D207))</f>
        <v>BILLING ISSUE</v>
      </c>
      <c r="G207" s="1" t="s">
        <v>16</v>
      </c>
      <c r="H207" s="1" t="str">
        <f>IF(OR(TRIM(G207)="Yes",TRIM(G207)="YES",TRIM(G207)="Y",TRIM(G207)="yes"),"Yes","No")</f>
        <v>No</v>
      </c>
      <c r="I207" s="1" t="s">
        <v>16</v>
      </c>
      <c r="J207" s="1" t="str">
        <f>IF(OR(TRIM(I207)="Yes",TRIM(I207)="YES",TRIM(I207)="Y",TRIM(I207)="yes"),"Yes","No")</f>
        <v>No</v>
      </c>
      <c r="K207" s="1" t="s">
        <v>15</v>
      </c>
      <c r="L207" s="1" t="str">
        <f>IF(C207="","Yes","No")</f>
        <v>Yes</v>
      </c>
      <c r="M207" s="1" t="str">
        <f>IF(C207="", "", C207 - B207)</f>
        <v/>
      </c>
      <c r="N207" s="3">
        <f>DATE(YEAR(B207),MONTH(B207),1)</f>
        <v>45748</v>
      </c>
      <c r="O207" s="2">
        <f>DATE(YEAR(B207),MONTH(B207),1)</f>
        <v>45748</v>
      </c>
    </row>
    <row r="208" spans="1:15" x14ac:dyDescent="0.2">
      <c r="A208" s="1" t="s">
        <v>117</v>
      </c>
      <c r="B208" s="3">
        <v>45730</v>
      </c>
      <c r="C208" s="3">
        <v>45744</v>
      </c>
      <c r="D208" s="1" t="s">
        <v>3</v>
      </c>
      <c r="E208" s="1" t="str">
        <f>UPPER(TRIM(D208))</f>
        <v>COMMUNICATION DELAY</v>
      </c>
      <c r="F208" s="1" t="s">
        <v>21</v>
      </c>
      <c r="G208" s="1" t="s">
        <v>9</v>
      </c>
      <c r="H208" s="1" t="str">
        <f>IF(OR(TRIM(G208)="Yes",TRIM(G208)="YES",TRIM(G208)="Y",TRIM(G208)="yes"),"Yes","No")</f>
        <v>No</v>
      </c>
      <c r="I208" s="1" t="s">
        <v>16</v>
      </c>
      <c r="J208" s="1" t="str">
        <f>IF(OR(TRIM(I208)="Yes",TRIM(I208)="YES",TRIM(I208)="Y",TRIM(I208)="yes"),"Yes","No")</f>
        <v>No</v>
      </c>
      <c r="K208" s="1" t="s">
        <v>29</v>
      </c>
      <c r="L208" s="1" t="str">
        <f>IF(C208="","Yes","No")</f>
        <v>No</v>
      </c>
      <c r="M208" s="1">
        <f>IF(C208="", "", C208 - B208)</f>
        <v>14</v>
      </c>
      <c r="N208" s="3">
        <f>DATE(YEAR(B208),MONTH(B208),1)</f>
        <v>45717</v>
      </c>
      <c r="O208" s="2">
        <f>DATE(YEAR(B208),MONTH(B208),1)</f>
        <v>45717</v>
      </c>
    </row>
    <row r="209" spans="1:15" x14ac:dyDescent="0.2">
      <c r="A209" s="1" t="s">
        <v>66</v>
      </c>
      <c r="B209" s="3">
        <v>45690</v>
      </c>
      <c r="C209" s="3">
        <v>45703</v>
      </c>
      <c r="D209" s="1" t="s">
        <v>3</v>
      </c>
      <c r="E209" s="1" t="str">
        <f>UPPER(TRIM(D209))</f>
        <v>COMMUNICATION DELAY</v>
      </c>
      <c r="F209" s="1" t="s">
        <v>21</v>
      </c>
      <c r="H209" s="1" t="str">
        <f>IF(OR(TRIM(G209)="Yes",TRIM(G209)="YES",TRIM(G209)="Y",TRIM(G209)="yes"),"Yes","No")</f>
        <v>No</v>
      </c>
      <c r="I209" s="1" t="s">
        <v>1</v>
      </c>
      <c r="J209" s="1" t="str">
        <f>IF(OR(TRIM(I209)="Yes",TRIM(I209)="YES",TRIM(I209)="Y",TRIM(I209)="yes"),"Yes","No")</f>
        <v>Yes</v>
      </c>
      <c r="L209" s="1" t="str">
        <f>IF(C209="","Yes","No")</f>
        <v>No</v>
      </c>
      <c r="M209" s="1">
        <f>IF(C209="", "", C209 - B209)</f>
        <v>13</v>
      </c>
      <c r="N209" s="3">
        <f>DATE(YEAR(B209),MONTH(B209),1)</f>
        <v>45689</v>
      </c>
      <c r="O209" s="2">
        <f>DATE(YEAR(B209),MONTH(B209),1)</f>
        <v>45689</v>
      </c>
    </row>
    <row r="210" spans="1:15" x14ac:dyDescent="0.2">
      <c r="A210" s="1" t="s">
        <v>208</v>
      </c>
      <c r="B210" s="3">
        <v>45609</v>
      </c>
      <c r="C210" s="3">
        <v>45628</v>
      </c>
      <c r="D210" s="1" t="s">
        <v>27</v>
      </c>
      <c r="E210" s="1" t="str">
        <f>UPPER(TRIM(D210))</f>
        <v>SERVICE DELAY</v>
      </c>
      <c r="F210" s="1" t="s">
        <v>2</v>
      </c>
      <c r="G210" s="1" t="s">
        <v>16</v>
      </c>
      <c r="H210" s="1" t="str">
        <f>IF(OR(TRIM(G210)="Yes",TRIM(G210)="YES",TRIM(G210)="Y",TRIM(G210)="yes"),"Yes","No")</f>
        <v>No</v>
      </c>
      <c r="I210" s="1" t="s">
        <v>0</v>
      </c>
      <c r="J210" s="1" t="str">
        <f>IF(OR(TRIM(I210)="Yes",TRIM(I210)="YES",TRIM(I210)="Y",TRIM(I210)="yes"),"Yes","No")</f>
        <v>Yes</v>
      </c>
      <c r="K210" s="1" t="s">
        <v>29</v>
      </c>
      <c r="L210" s="1" t="str">
        <f>IF(C210="","Yes","No")</f>
        <v>No</v>
      </c>
      <c r="M210" s="1">
        <f>IF(C210="", "", C210 - B210)</f>
        <v>19</v>
      </c>
      <c r="N210" s="3">
        <f>DATE(YEAR(B210),MONTH(B210),1)</f>
        <v>45597</v>
      </c>
      <c r="O210" s="2">
        <f>DATE(YEAR(B210),MONTH(B210),1)</f>
        <v>45597</v>
      </c>
    </row>
    <row r="211" spans="1:15" x14ac:dyDescent="0.2">
      <c r="A211" s="1" t="s">
        <v>66</v>
      </c>
      <c r="B211" s="3">
        <v>45607</v>
      </c>
      <c r="C211" s="3">
        <v>45614</v>
      </c>
      <c r="D211" s="1" t="s">
        <v>3</v>
      </c>
      <c r="E211" s="1" t="str">
        <f>UPPER(TRIM(D211))</f>
        <v>COMMUNICATION DELAY</v>
      </c>
      <c r="F211" s="1" t="s">
        <v>2</v>
      </c>
      <c r="G211" s="1" t="s">
        <v>47</v>
      </c>
      <c r="H211" s="1" t="str">
        <f>IF(OR(TRIM(G211)="Yes",TRIM(G211)="YES",TRIM(G211)="Y",TRIM(G211)="yes"),"Yes","No")</f>
        <v>Yes</v>
      </c>
      <c r="I211" s="1" t="s">
        <v>16</v>
      </c>
      <c r="J211" s="1" t="str">
        <f>IF(OR(TRIM(I211)="Yes",TRIM(I211)="YES",TRIM(I211)="Y",TRIM(I211)="yes"),"Yes","No")</f>
        <v>No</v>
      </c>
      <c r="L211" s="1" t="str">
        <f>IF(C211="","Yes","No")</f>
        <v>No</v>
      </c>
      <c r="M211" s="1">
        <f>IF(C211="", "", C211 - B211)</f>
        <v>7</v>
      </c>
      <c r="N211" s="3">
        <f>DATE(YEAR(B211),MONTH(B211),1)</f>
        <v>45597</v>
      </c>
      <c r="O211" s="2">
        <f>DATE(YEAR(B211),MONTH(B211),1)</f>
        <v>45597</v>
      </c>
    </row>
    <row r="212" spans="1:15" x14ac:dyDescent="0.2">
      <c r="A212" s="1" t="s">
        <v>207</v>
      </c>
      <c r="B212" s="3">
        <v>45708</v>
      </c>
      <c r="C212" s="3">
        <v>45715</v>
      </c>
      <c r="D212" s="1" t="s">
        <v>19</v>
      </c>
      <c r="E212" s="1" t="str">
        <f>UPPER(TRIM(D212))</f>
        <v>DOC ERROR</v>
      </c>
      <c r="F212" s="1" t="s">
        <v>6</v>
      </c>
      <c r="H212" s="1" t="str">
        <f>IF(OR(TRIM(G212)="Yes",TRIM(G212)="YES",TRIM(G212)="Y",TRIM(G212)="yes"),"Yes","No")</f>
        <v>No</v>
      </c>
      <c r="I212" s="1" t="s">
        <v>1</v>
      </c>
      <c r="J212" s="1" t="str">
        <f>IF(OR(TRIM(I212)="Yes",TRIM(I212)="YES",TRIM(I212)="Y",TRIM(I212)="yes"),"Yes","No")</f>
        <v>Yes</v>
      </c>
      <c r="K212" s="1" t="s">
        <v>29</v>
      </c>
      <c r="L212" s="1" t="str">
        <f>IF(C212="","Yes","No")</f>
        <v>No</v>
      </c>
      <c r="M212" s="1">
        <f>IF(C212="", "", C212 - B212)</f>
        <v>7</v>
      </c>
      <c r="N212" s="3">
        <f>DATE(YEAR(B212),MONTH(B212),1)</f>
        <v>45689</v>
      </c>
      <c r="O212" s="2">
        <f>DATE(YEAR(B212),MONTH(B212),1)</f>
        <v>45689</v>
      </c>
    </row>
    <row r="213" spans="1:15" x14ac:dyDescent="0.2">
      <c r="A213" s="1" t="s">
        <v>172</v>
      </c>
      <c r="B213" s="3">
        <v>45724</v>
      </c>
      <c r="C213" s="3">
        <v>45725</v>
      </c>
      <c r="D213" s="1" t="s">
        <v>27</v>
      </c>
      <c r="E213" s="1" t="str">
        <f>UPPER(TRIM(D213))</f>
        <v>SERVICE DELAY</v>
      </c>
      <c r="F213" s="1" t="s">
        <v>21</v>
      </c>
      <c r="G213" s="1" t="s">
        <v>16</v>
      </c>
      <c r="H213" s="1" t="str">
        <f>IF(OR(TRIM(G213)="Yes",TRIM(G213)="YES",TRIM(G213)="Y",TRIM(G213)="yes"),"Yes","No")</f>
        <v>No</v>
      </c>
      <c r="I213" s="1" t="s">
        <v>9</v>
      </c>
      <c r="J213" s="1" t="str">
        <f>IF(OR(TRIM(I213)="Yes",TRIM(I213)="YES",TRIM(I213)="Y",TRIM(I213)="yes"),"Yes","No")</f>
        <v>No</v>
      </c>
      <c r="K213" s="1" t="s">
        <v>29</v>
      </c>
      <c r="L213" s="1" t="str">
        <f>IF(C213="","Yes","No")</f>
        <v>No</v>
      </c>
      <c r="M213" s="1">
        <f>IF(C213="", "", C213 - B213)</f>
        <v>1</v>
      </c>
      <c r="N213" s="3">
        <f>DATE(YEAR(B213),MONTH(B213),1)</f>
        <v>45717</v>
      </c>
      <c r="O213" s="2">
        <f>DATE(YEAR(B213),MONTH(B213),1)</f>
        <v>45717</v>
      </c>
    </row>
    <row r="214" spans="1:15" x14ac:dyDescent="0.2">
      <c r="A214" s="1" t="s">
        <v>134</v>
      </c>
      <c r="B214" s="3">
        <v>45762</v>
      </c>
      <c r="C214" s="3">
        <v>45767</v>
      </c>
      <c r="D214" s="1" t="s">
        <v>19</v>
      </c>
      <c r="E214" s="1" t="str">
        <f>UPPER(TRIM(D214))</f>
        <v>DOC ERROR</v>
      </c>
      <c r="F214" s="1" t="s">
        <v>18</v>
      </c>
      <c r="G214" s="1" t="s">
        <v>1</v>
      </c>
      <c r="H214" s="1" t="str">
        <f>IF(OR(TRIM(G214)="Yes",TRIM(G214)="YES",TRIM(G214)="Y",TRIM(G214)="yes"),"Yes","No")</f>
        <v>Yes</v>
      </c>
      <c r="I214" s="1" t="s">
        <v>1</v>
      </c>
      <c r="J214" s="1" t="str">
        <f>IF(OR(TRIM(I214)="Yes",TRIM(I214)="YES",TRIM(I214)="Y",TRIM(I214)="yes"),"Yes","No")</f>
        <v>Yes</v>
      </c>
      <c r="K214" s="1" t="s">
        <v>15</v>
      </c>
      <c r="L214" s="1" t="str">
        <f>IF(C214="","Yes","No")</f>
        <v>No</v>
      </c>
      <c r="M214" s="1">
        <f>IF(C214="", "", C214 - B214)</f>
        <v>5</v>
      </c>
      <c r="N214" s="3">
        <f>DATE(YEAR(B214),MONTH(B214),1)</f>
        <v>45748</v>
      </c>
      <c r="O214" s="2">
        <f>DATE(YEAR(B214),MONTH(B214),1)</f>
        <v>45748</v>
      </c>
    </row>
    <row r="215" spans="1:15" x14ac:dyDescent="0.2">
      <c r="A215" s="1" t="s">
        <v>206</v>
      </c>
      <c r="B215" s="3">
        <v>45566</v>
      </c>
      <c r="C215" s="3">
        <v>45574</v>
      </c>
      <c r="D215" s="1" t="s">
        <v>27</v>
      </c>
      <c r="E215" s="1" t="str">
        <f>UPPER(TRIM(D215))</f>
        <v>SERVICE DELAY</v>
      </c>
      <c r="F215" s="1" t="s">
        <v>18</v>
      </c>
      <c r="G215" s="1" t="s">
        <v>47</v>
      </c>
      <c r="H215" s="1" t="str">
        <f>IF(OR(TRIM(G215)="Yes",TRIM(G215)="YES",TRIM(G215)="Y",TRIM(G215)="yes"),"Yes","No")</f>
        <v>Yes</v>
      </c>
      <c r="I215" s="1" t="s">
        <v>1</v>
      </c>
      <c r="J215" s="1" t="str">
        <f>IF(OR(TRIM(I215)="Yes",TRIM(I215)="YES",TRIM(I215)="Y",TRIM(I215)="yes"),"Yes","No")</f>
        <v>Yes</v>
      </c>
      <c r="K215" s="1" t="s">
        <v>5</v>
      </c>
      <c r="L215" s="1" t="str">
        <f>IF(C215="","Yes","No")</f>
        <v>No</v>
      </c>
      <c r="M215" s="1">
        <f>IF(C215="", "", C215 - B215)</f>
        <v>8</v>
      </c>
      <c r="N215" s="3">
        <f>DATE(YEAR(B215),MONTH(B215),1)</f>
        <v>45566</v>
      </c>
      <c r="O215" s="2">
        <f>DATE(YEAR(B215),MONTH(B215),1)</f>
        <v>45566</v>
      </c>
    </row>
    <row r="216" spans="1:15" x14ac:dyDescent="0.2">
      <c r="A216" s="1" t="s">
        <v>126</v>
      </c>
      <c r="B216" s="3">
        <v>45722</v>
      </c>
      <c r="C216" s="3">
        <v>45729</v>
      </c>
      <c r="D216" s="1" t="s">
        <v>35</v>
      </c>
      <c r="E216" s="1" t="str">
        <f>UPPER(TRIM(D216))</f>
        <v>DOCUMENTATION ERROR</v>
      </c>
      <c r="F216" s="1" t="s">
        <v>6</v>
      </c>
      <c r="G216" s="1" t="s">
        <v>0</v>
      </c>
      <c r="H216" s="1" t="str">
        <f>IF(OR(TRIM(G216)="Yes",TRIM(G216)="YES",TRIM(G216)="Y",TRIM(G216)="yes"),"Yes","No")</f>
        <v>Yes</v>
      </c>
      <c r="J216" s="1" t="str">
        <f>IF(OR(TRIM(I216)="Yes",TRIM(I216)="YES",TRIM(I216)="Y",TRIM(I216)="yes"),"Yes","No")</f>
        <v>No</v>
      </c>
      <c r="K216" s="1" t="s">
        <v>5</v>
      </c>
      <c r="L216" s="1" t="str">
        <f>IF(C216="","Yes","No")</f>
        <v>No</v>
      </c>
      <c r="M216" s="1">
        <f>IF(C216="", "", C216 - B216)</f>
        <v>7</v>
      </c>
      <c r="N216" s="3">
        <f>DATE(YEAR(B216),MONTH(B216),1)</f>
        <v>45717</v>
      </c>
      <c r="O216" s="2">
        <f>DATE(YEAR(B216),MONTH(B216),1)</f>
        <v>45717</v>
      </c>
    </row>
    <row r="217" spans="1:15" x14ac:dyDescent="0.2">
      <c r="A217" s="1" t="s">
        <v>205</v>
      </c>
      <c r="B217" s="3">
        <v>45633</v>
      </c>
      <c r="C217" s="3">
        <v>45644</v>
      </c>
      <c r="D217" s="1" t="s">
        <v>35</v>
      </c>
      <c r="E217" s="1" t="str">
        <f>UPPER(TRIM(D217))</f>
        <v>DOCUMENTATION ERROR</v>
      </c>
      <c r="F217" s="1" t="s">
        <v>21</v>
      </c>
      <c r="H217" s="1" t="str">
        <f>IF(OR(TRIM(G217)="Yes",TRIM(G217)="YES",TRIM(G217)="Y",TRIM(G217)="yes"),"Yes","No")</f>
        <v>No</v>
      </c>
      <c r="J217" s="1" t="str">
        <f>IF(OR(TRIM(I217)="Yes",TRIM(I217)="YES",TRIM(I217)="Y",TRIM(I217)="yes"),"Yes","No")</f>
        <v>No</v>
      </c>
      <c r="K217" s="1" t="s">
        <v>5</v>
      </c>
      <c r="L217" s="1" t="str">
        <f>IF(C217="","Yes","No")</f>
        <v>No</v>
      </c>
      <c r="M217" s="1">
        <f>IF(C217="", "", C217 - B217)</f>
        <v>11</v>
      </c>
      <c r="N217" s="3">
        <f>DATE(YEAR(B217),MONTH(B217),1)</f>
        <v>45627</v>
      </c>
      <c r="O217" s="2">
        <f>DATE(YEAR(B217),MONTH(B217),1)</f>
        <v>45627</v>
      </c>
    </row>
    <row r="218" spans="1:15" x14ac:dyDescent="0.2">
      <c r="A218" s="1" t="s">
        <v>204</v>
      </c>
      <c r="B218" s="3">
        <v>45735</v>
      </c>
      <c r="C218" s="3">
        <v>45747</v>
      </c>
      <c r="D218" s="1" t="s">
        <v>44</v>
      </c>
      <c r="E218" s="1" t="str">
        <f>UPPER(TRIM(D218))</f>
        <v>COMMUNICATION DELAY</v>
      </c>
      <c r="G218" s="1" t="s">
        <v>12</v>
      </c>
      <c r="H218" s="1" t="str">
        <f>IF(OR(TRIM(G218)="Yes",TRIM(G218)="YES",TRIM(G218)="Y",TRIM(G218)="yes"),"Yes","No")</f>
        <v>No</v>
      </c>
      <c r="J218" s="1" t="str">
        <f>IF(OR(TRIM(I218)="Yes",TRIM(I218)="YES",TRIM(I218)="Y",TRIM(I218)="yes"),"Yes","No")</f>
        <v>No</v>
      </c>
      <c r="K218" s="1" t="s">
        <v>5</v>
      </c>
      <c r="L218" s="1" t="str">
        <f>IF(C218="","Yes","No")</f>
        <v>No</v>
      </c>
      <c r="M218" s="1">
        <f>IF(C218="", "", C218 - B218)</f>
        <v>12</v>
      </c>
      <c r="N218" s="3">
        <f>DATE(YEAR(B218),MONTH(B218),1)</f>
        <v>45717</v>
      </c>
      <c r="O218" s="2">
        <f>DATE(YEAR(B218),MONTH(B218),1)</f>
        <v>45717</v>
      </c>
    </row>
    <row r="219" spans="1:15" x14ac:dyDescent="0.2">
      <c r="A219" s="1" t="s">
        <v>166</v>
      </c>
      <c r="B219" s="3">
        <v>45607</v>
      </c>
      <c r="C219" s="3">
        <v>45615</v>
      </c>
      <c r="D219" s="1" t="s">
        <v>33</v>
      </c>
      <c r="E219" s="1" t="str">
        <f>UPPER(TRIM(D219))</f>
        <v>POLICY UPDATE</v>
      </c>
      <c r="F219" s="1" t="s">
        <v>18</v>
      </c>
      <c r="G219" s="1" t="s">
        <v>0</v>
      </c>
      <c r="H219" s="1" t="str">
        <f>IF(OR(TRIM(G219)="Yes",TRIM(G219)="YES",TRIM(G219)="Y",TRIM(G219)="yes"),"Yes","No")</f>
        <v>Yes</v>
      </c>
      <c r="J219" s="1" t="str">
        <f>IF(OR(TRIM(I219)="Yes",TRIM(I219)="YES",TRIM(I219)="Y",TRIM(I219)="yes"),"Yes","No")</f>
        <v>No</v>
      </c>
      <c r="K219" s="1" t="s">
        <v>5</v>
      </c>
      <c r="L219" s="1" t="str">
        <f>IF(C219="","Yes","No")</f>
        <v>No</v>
      </c>
      <c r="M219" s="1">
        <f>IF(C219="", "", C219 - B219)</f>
        <v>8</v>
      </c>
      <c r="N219" s="3">
        <f>DATE(YEAR(B219),MONTH(B219),1)</f>
        <v>45597</v>
      </c>
      <c r="O219" s="2">
        <f>DATE(YEAR(B219),MONTH(B219),1)</f>
        <v>45597</v>
      </c>
    </row>
    <row r="220" spans="1:15" x14ac:dyDescent="0.2">
      <c r="A220" s="1" t="s">
        <v>105</v>
      </c>
      <c r="B220" s="3">
        <v>45691</v>
      </c>
      <c r="C220" s="3">
        <v>45706</v>
      </c>
      <c r="D220" s="1" t="s">
        <v>44</v>
      </c>
      <c r="E220" s="1" t="str">
        <f>UPPER(TRIM(D220))</f>
        <v>COMMUNICATION DELAY</v>
      </c>
      <c r="F220" s="1" t="s">
        <v>18</v>
      </c>
      <c r="G220" s="1" t="s">
        <v>1</v>
      </c>
      <c r="H220" s="1" t="str">
        <f>IF(OR(TRIM(G220)="Yes",TRIM(G220)="YES",TRIM(G220)="Y",TRIM(G220)="yes"),"Yes","No")</f>
        <v>Yes</v>
      </c>
      <c r="I220" s="1" t="s">
        <v>9</v>
      </c>
      <c r="J220" s="1" t="str">
        <f>IF(OR(TRIM(I220)="Yes",TRIM(I220)="YES",TRIM(I220)="Y",TRIM(I220)="yes"),"Yes","No")</f>
        <v>No</v>
      </c>
      <c r="K220" s="1" t="s">
        <v>15</v>
      </c>
      <c r="L220" s="1" t="str">
        <f>IF(C220="","Yes","No")</f>
        <v>No</v>
      </c>
      <c r="M220" s="1">
        <f>IF(C220="", "", C220 - B220)</f>
        <v>15</v>
      </c>
      <c r="N220" s="3">
        <f>DATE(YEAR(B220),MONTH(B220),1)</f>
        <v>45689</v>
      </c>
      <c r="O220" s="2">
        <f>DATE(YEAR(B220),MONTH(B220),1)</f>
        <v>45689</v>
      </c>
    </row>
    <row r="221" spans="1:15" x14ac:dyDescent="0.2">
      <c r="A221" s="1" t="s">
        <v>182</v>
      </c>
      <c r="B221" s="3">
        <v>45609</v>
      </c>
      <c r="C221" s="3">
        <v>45624</v>
      </c>
      <c r="D221" s="1" t="s">
        <v>27</v>
      </c>
      <c r="E221" s="1" t="str">
        <f>UPPER(TRIM(D221))</f>
        <v>SERVICE DELAY</v>
      </c>
      <c r="G221" s="1" t="s">
        <v>1</v>
      </c>
      <c r="H221" s="1" t="str">
        <f>IF(OR(TRIM(G221)="Yes",TRIM(G221)="YES",TRIM(G221)="Y",TRIM(G221)="yes"),"Yes","No")</f>
        <v>Yes</v>
      </c>
      <c r="I221" s="1" t="s">
        <v>0</v>
      </c>
      <c r="J221" s="1" t="str">
        <f>IF(OR(TRIM(I221)="Yes",TRIM(I221)="YES",TRIM(I221)="Y",TRIM(I221)="yes"),"Yes","No")</f>
        <v>Yes</v>
      </c>
      <c r="K221" s="1" t="s">
        <v>29</v>
      </c>
      <c r="L221" s="1" t="str">
        <f>IF(C221="","Yes","No")</f>
        <v>No</v>
      </c>
      <c r="M221" s="1">
        <f>IF(C221="", "", C221 - B221)</f>
        <v>15</v>
      </c>
      <c r="N221" s="3">
        <f>DATE(YEAR(B221),MONTH(B221),1)</f>
        <v>45597</v>
      </c>
      <c r="O221" s="2">
        <f>DATE(YEAR(B221),MONTH(B221),1)</f>
        <v>45597</v>
      </c>
    </row>
    <row r="222" spans="1:15" x14ac:dyDescent="0.2">
      <c r="A222" s="1" t="s">
        <v>203</v>
      </c>
      <c r="B222" s="3">
        <v>45660</v>
      </c>
      <c r="C222" s="3">
        <v>45666</v>
      </c>
      <c r="D222" s="1" t="s">
        <v>7</v>
      </c>
      <c r="E222" s="1" t="str">
        <f>UPPER(TRIM(D222))</f>
        <v>BILLING ISSUE</v>
      </c>
      <c r="F222" s="1" t="s">
        <v>18</v>
      </c>
      <c r="G222" s="1" t="s">
        <v>16</v>
      </c>
      <c r="H222" s="1" t="str">
        <f>IF(OR(TRIM(G222)="Yes",TRIM(G222)="YES",TRIM(G222)="Y",TRIM(G222)="yes"),"Yes","No")</f>
        <v>No</v>
      </c>
      <c r="I222" s="1" t="s">
        <v>0</v>
      </c>
      <c r="J222" s="1" t="str">
        <f>IF(OR(TRIM(I222)="Yes",TRIM(I222)="YES",TRIM(I222)="Y",TRIM(I222)="yes"),"Yes","No")</f>
        <v>Yes</v>
      </c>
      <c r="L222" s="1" t="str">
        <f>IF(C222="","Yes","No")</f>
        <v>No</v>
      </c>
      <c r="M222" s="1">
        <f>IF(C222="", "", C222 - B222)</f>
        <v>6</v>
      </c>
      <c r="N222" s="3">
        <f>DATE(YEAR(B222),MONTH(B222),1)</f>
        <v>45658</v>
      </c>
      <c r="O222" s="2">
        <f>DATE(YEAR(B222),MONTH(B222),1)</f>
        <v>45658</v>
      </c>
    </row>
    <row r="223" spans="1:15" x14ac:dyDescent="0.2">
      <c r="A223" s="1" t="s">
        <v>202</v>
      </c>
      <c r="B223" s="3">
        <v>45693</v>
      </c>
      <c r="D223" s="1" t="s">
        <v>3</v>
      </c>
      <c r="E223" s="1" t="str">
        <f>UPPER(TRIM(D223))</f>
        <v>COMMUNICATION DELAY</v>
      </c>
      <c r="F223" s="1" t="s">
        <v>6</v>
      </c>
      <c r="G223" s="1" t="s">
        <v>9</v>
      </c>
      <c r="H223" s="1" t="str">
        <f>IF(OR(TRIM(G223)="Yes",TRIM(G223)="YES",TRIM(G223)="Y",TRIM(G223)="yes"),"Yes","No")</f>
        <v>No</v>
      </c>
      <c r="I223" s="1" t="s">
        <v>1</v>
      </c>
      <c r="J223" s="1" t="str">
        <f>IF(OR(TRIM(I223)="Yes",TRIM(I223)="YES",TRIM(I223)="Y",TRIM(I223)="yes"),"Yes","No")</f>
        <v>Yes</v>
      </c>
      <c r="K223" s="1" t="s">
        <v>5</v>
      </c>
      <c r="L223" s="1" t="str">
        <f>IF(C223="","Yes","No")</f>
        <v>Yes</v>
      </c>
      <c r="M223" s="1" t="str">
        <f>IF(C223="", "", C223 - B223)</f>
        <v/>
      </c>
      <c r="N223" s="3">
        <f>DATE(YEAR(B223),MONTH(B223),1)</f>
        <v>45689</v>
      </c>
      <c r="O223" s="2">
        <f>DATE(YEAR(B223),MONTH(B223),1)</f>
        <v>45689</v>
      </c>
    </row>
    <row r="224" spans="1:15" x14ac:dyDescent="0.2">
      <c r="A224" s="1" t="s">
        <v>70</v>
      </c>
      <c r="B224" s="3">
        <v>45607</v>
      </c>
      <c r="C224" s="3">
        <v>45617</v>
      </c>
      <c r="D224" s="1" t="s">
        <v>3</v>
      </c>
      <c r="E224" s="1" t="str">
        <f>UPPER(TRIM(D224))</f>
        <v>COMMUNICATION DELAY</v>
      </c>
      <c r="F224" s="1" t="s">
        <v>21</v>
      </c>
      <c r="G224" s="1" t="s">
        <v>16</v>
      </c>
      <c r="H224" s="1" t="str">
        <f>IF(OR(TRIM(G224)="Yes",TRIM(G224)="YES",TRIM(G224)="Y",TRIM(G224)="yes"),"Yes","No")</f>
        <v>No</v>
      </c>
      <c r="I224" s="1" t="s">
        <v>16</v>
      </c>
      <c r="J224" s="1" t="str">
        <f>IF(OR(TRIM(I224)="Yes",TRIM(I224)="YES",TRIM(I224)="Y",TRIM(I224)="yes"),"Yes","No")</f>
        <v>No</v>
      </c>
      <c r="L224" s="1" t="str">
        <f>IF(C224="","Yes","No")</f>
        <v>No</v>
      </c>
      <c r="M224" s="1">
        <f>IF(C224="", "", C224 - B224)</f>
        <v>10</v>
      </c>
      <c r="N224" s="3">
        <f>DATE(YEAR(B224),MONTH(B224),1)</f>
        <v>45597</v>
      </c>
      <c r="O224" s="2">
        <f>DATE(YEAR(B224),MONTH(B224),1)</f>
        <v>45597</v>
      </c>
    </row>
    <row r="225" spans="1:15" x14ac:dyDescent="0.2">
      <c r="A225" s="1" t="s">
        <v>131</v>
      </c>
      <c r="B225" s="3">
        <v>45708</v>
      </c>
      <c r="C225" s="3">
        <v>45728</v>
      </c>
      <c r="D225" s="1" t="s">
        <v>44</v>
      </c>
      <c r="E225" s="1" t="str">
        <f>UPPER(TRIM(D225))</f>
        <v>COMMUNICATION DELAY</v>
      </c>
      <c r="F225" s="1" t="s">
        <v>18</v>
      </c>
      <c r="G225" s="1" t="s">
        <v>1</v>
      </c>
      <c r="H225" s="1" t="str">
        <f>IF(OR(TRIM(G225)="Yes",TRIM(G225)="YES",TRIM(G225)="Y",TRIM(G225)="yes"),"Yes","No")</f>
        <v>Yes</v>
      </c>
      <c r="I225" s="1" t="s">
        <v>9</v>
      </c>
      <c r="J225" s="1" t="str">
        <f>IF(OR(TRIM(I225)="Yes",TRIM(I225)="YES",TRIM(I225)="Y",TRIM(I225)="yes"),"Yes","No")</f>
        <v>No</v>
      </c>
      <c r="K225" s="1" t="s">
        <v>29</v>
      </c>
      <c r="L225" s="1" t="str">
        <f>IF(C225="","Yes","No")</f>
        <v>No</v>
      </c>
      <c r="M225" s="1">
        <f>IF(C225="", "", C225 - B225)</f>
        <v>20</v>
      </c>
      <c r="N225" s="3">
        <f>DATE(YEAR(B225),MONTH(B225),1)</f>
        <v>45689</v>
      </c>
      <c r="O225" s="2">
        <f>DATE(YEAR(B225),MONTH(B225),1)</f>
        <v>45689</v>
      </c>
    </row>
    <row r="226" spans="1:15" x14ac:dyDescent="0.2">
      <c r="A226" s="1" t="s">
        <v>198</v>
      </c>
      <c r="B226" s="3">
        <v>45719</v>
      </c>
      <c r="C226" s="3">
        <v>45734</v>
      </c>
      <c r="D226" s="1" t="s">
        <v>33</v>
      </c>
      <c r="E226" s="1" t="str">
        <f>UPPER(TRIM(D226))</f>
        <v>POLICY UPDATE</v>
      </c>
      <c r="F226" s="1" t="s">
        <v>6</v>
      </c>
      <c r="H226" s="1" t="str">
        <f>IF(OR(TRIM(G226)="Yes",TRIM(G226)="YES",TRIM(G226)="Y",TRIM(G226)="yes"),"Yes","No")</f>
        <v>No</v>
      </c>
      <c r="I226" s="1" t="s">
        <v>0</v>
      </c>
      <c r="J226" s="1" t="str">
        <f>IF(OR(TRIM(I226)="Yes",TRIM(I226)="YES",TRIM(I226)="Y",TRIM(I226)="yes"),"Yes","No")</f>
        <v>Yes</v>
      </c>
      <c r="K226" s="1" t="s">
        <v>29</v>
      </c>
      <c r="L226" s="1" t="str">
        <f>IF(C226="","Yes","No")</f>
        <v>No</v>
      </c>
      <c r="M226" s="1">
        <f>IF(C226="", "", C226 - B226)</f>
        <v>15</v>
      </c>
      <c r="N226" s="3">
        <f>DATE(YEAR(B226),MONTH(B226),1)</f>
        <v>45717</v>
      </c>
      <c r="O226" s="2">
        <f>DATE(YEAR(B226),MONTH(B226),1)</f>
        <v>45717</v>
      </c>
    </row>
    <row r="227" spans="1:15" x14ac:dyDescent="0.2">
      <c r="A227" s="1" t="s">
        <v>201</v>
      </c>
      <c r="B227" s="3">
        <v>45756</v>
      </c>
      <c r="C227" s="3">
        <v>45771</v>
      </c>
      <c r="D227" s="1" t="s">
        <v>7</v>
      </c>
      <c r="E227" s="1" t="str">
        <f>UPPER(TRIM(D227))</f>
        <v>BILLING ISSUE</v>
      </c>
      <c r="F227" s="1" t="s">
        <v>2</v>
      </c>
      <c r="G227" s="1" t="s">
        <v>47</v>
      </c>
      <c r="H227" s="1" t="str">
        <f>IF(OR(TRIM(G227)="Yes",TRIM(G227)="YES",TRIM(G227)="Y",TRIM(G227)="yes"),"Yes","No")</f>
        <v>Yes</v>
      </c>
      <c r="J227" s="1" t="str">
        <f>IF(OR(TRIM(I227)="Yes",TRIM(I227)="YES",TRIM(I227)="Y",TRIM(I227)="yes"),"Yes","No")</f>
        <v>No</v>
      </c>
      <c r="K227" s="1" t="s">
        <v>5</v>
      </c>
      <c r="L227" s="1" t="str">
        <f>IF(C227="","Yes","No")</f>
        <v>No</v>
      </c>
      <c r="M227" s="1">
        <f>IF(C227="", "", C227 - B227)</f>
        <v>15</v>
      </c>
      <c r="N227" s="3">
        <f>DATE(YEAR(B227),MONTH(B227),1)</f>
        <v>45748</v>
      </c>
      <c r="O227" s="2">
        <f>DATE(YEAR(B227),MONTH(B227),1)</f>
        <v>45748</v>
      </c>
    </row>
    <row r="228" spans="1:15" x14ac:dyDescent="0.2">
      <c r="A228" s="1" t="s">
        <v>200</v>
      </c>
      <c r="B228" s="3">
        <v>45721</v>
      </c>
      <c r="C228" s="3">
        <v>45723</v>
      </c>
      <c r="D228" s="1" t="s">
        <v>44</v>
      </c>
      <c r="E228" s="1" t="str">
        <f>UPPER(TRIM(D228))</f>
        <v>COMMUNICATION DELAY</v>
      </c>
      <c r="H228" s="1" t="str">
        <f>IF(OR(TRIM(G228)="Yes",TRIM(G228)="YES",TRIM(G228)="Y",TRIM(G228)="yes"),"Yes","No")</f>
        <v>No</v>
      </c>
      <c r="J228" s="1" t="str">
        <f>IF(OR(TRIM(I228)="Yes",TRIM(I228)="YES",TRIM(I228)="Y",TRIM(I228)="yes"),"Yes","No")</f>
        <v>No</v>
      </c>
      <c r="L228" s="1" t="str">
        <f>IF(C228="","Yes","No")</f>
        <v>No</v>
      </c>
      <c r="M228" s="1">
        <f>IF(C228="", "", C228 - B228)</f>
        <v>2</v>
      </c>
      <c r="N228" s="3">
        <f>DATE(YEAR(B228),MONTH(B228),1)</f>
        <v>45717</v>
      </c>
      <c r="O228" s="2">
        <f>DATE(YEAR(B228),MONTH(B228),1)</f>
        <v>45717</v>
      </c>
    </row>
    <row r="229" spans="1:15" x14ac:dyDescent="0.2">
      <c r="A229" s="1" t="s">
        <v>199</v>
      </c>
      <c r="B229" s="3">
        <v>45583</v>
      </c>
      <c r="C229" s="3">
        <v>45586</v>
      </c>
      <c r="D229" s="1" t="s">
        <v>35</v>
      </c>
      <c r="E229" s="1" t="str">
        <f>UPPER(TRIM(D229))</f>
        <v>DOCUMENTATION ERROR</v>
      </c>
      <c r="F229" s="1" t="s">
        <v>6</v>
      </c>
      <c r="G229" s="1" t="s">
        <v>9</v>
      </c>
      <c r="H229" s="1" t="str">
        <f>IF(OR(TRIM(G229)="Yes",TRIM(G229)="YES",TRIM(G229)="Y",TRIM(G229)="yes"),"Yes","No")</f>
        <v>No</v>
      </c>
      <c r="I229" s="1" t="s">
        <v>16</v>
      </c>
      <c r="J229" s="1" t="str">
        <f>IF(OR(TRIM(I229)="Yes",TRIM(I229)="YES",TRIM(I229)="Y",TRIM(I229)="yes"),"Yes","No")</f>
        <v>No</v>
      </c>
      <c r="L229" s="1" t="str">
        <f>IF(C229="","Yes","No")</f>
        <v>No</v>
      </c>
      <c r="M229" s="1">
        <f>IF(C229="", "", C229 - B229)</f>
        <v>3</v>
      </c>
      <c r="N229" s="3">
        <f>DATE(YEAR(B229),MONTH(B229),1)</f>
        <v>45566</v>
      </c>
      <c r="O229" s="2">
        <f>DATE(YEAR(B229),MONTH(B229),1)</f>
        <v>45566</v>
      </c>
    </row>
    <row r="230" spans="1:15" x14ac:dyDescent="0.2">
      <c r="A230" s="1" t="s">
        <v>64</v>
      </c>
      <c r="B230" s="3">
        <v>45602</v>
      </c>
      <c r="C230" s="3">
        <v>45611</v>
      </c>
      <c r="D230" s="1" t="s">
        <v>33</v>
      </c>
      <c r="E230" s="1" t="str">
        <f>UPPER(TRIM(D230))</f>
        <v>POLICY UPDATE</v>
      </c>
      <c r="F230" s="1" t="s">
        <v>18</v>
      </c>
      <c r="G230" s="1" t="s">
        <v>47</v>
      </c>
      <c r="H230" s="1" t="str">
        <f>IF(OR(TRIM(G230)="Yes",TRIM(G230)="YES",TRIM(G230)="Y",TRIM(G230)="yes"),"Yes","No")</f>
        <v>Yes</v>
      </c>
      <c r="I230" s="1" t="s">
        <v>1</v>
      </c>
      <c r="J230" s="1" t="str">
        <f>IF(OR(TRIM(I230)="Yes",TRIM(I230)="YES",TRIM(I230)="Y",TRIM(I230)="yes"),"Yes","No")</f>
        <v>Yes</v>
      </c>
      <c r="L230" s="1" t="str">
        <f>IF(C230="","Yes","No")</f>
        <v>No</v>
      </c>
      <c r="M230" s="1">
        <f>IF(C230="", "", C230 - B230)</f>
        <v>9</v>
      </c>
      <c r="N230" s="3">
        <f>DATE(YEAR(B230),MONTH(B230),1)</f>
        <v>45597</v>
      </c>
      <c r="O230" s="2">
        <f>DATE(YEAR(B230),MONTH(B230),1)</f>
        <v>45597</v>
      </c>
    </row>
    <row r="231" spans="1:15" x14ac:dyDescent="0.2">
      <c r="A231" s="1" t="s">
        <v>76</v>
      </c>
      <c r="B231" s="3">
        <v>45733</v>
      </c>
      <c r="C231" s="3">
        <v>45739</v>
      </c>
      <c r="D231" s="1" t="s">
        <v>44</v>
      </c>
      <c r="E231" s="1" t="str">
        <f>UPPER(TRIM(D231))</f>
        <v>COMMUNICATION DELAY</v>
      </c>
      <c r="F231" s="1" t="s">
        <v>21</v>
      </c>
      <c r="G231" s="1" t="s">
        <v>12</v>
      </c>
      <c r="H231" s="1" t="str">
        <f>IF(OR(TRIM(G231)="Yes",TRIM(G231)="YES",TRIM(G231)="Y",TRIM(G231)="yes"),"Yes","No")</f>
        <v>No</v>
      </c>
      <c r="J231" s="1" t="str">
        <f>IF(OR(TRIM(I231)="Yes",TRIM(I231)="YES",TRIM(I231)="Y",TRIM(I231)="yes"),"Yes","No")</f>
        <v>No</v>
      </c>
      <c r="L231" s="1" t="str">
        <f>IF(C231="","Yes","No")</f>
        <v>No</v>
      </c>
      <c r="M231" s="1">
        <f>IF(C231="", "", C231 - B231)</f>
        <v>6</v>
      </c>
      <c r="N231" s="3">
        <f>DATE(YEAR(B231),MONTH(B231),1)</f>
        <v>45717</v>
      </c>
      <c r="O231" s="2">
        <f>DATE(YEAR(B231),MONTH(B231),1)</f>
        <v>45717</v>
      </c>
    </row>
    <row r="232" spans="1:15" x14ac:dyDescent="0.2">
      <c r="A232" s="1" t="s">
        <v>198</v>
      </c>
      <c r="B232" s="3">
        <v>45650</v>
      </c>
      <c r="C232" s="3">
        <v>45660</v>
      </c>
      <c r="D232" s="1" t="s">
        <v>22</v>
      </c>
      <c r="E232" s="1" t="str">
        <f>UPPER(TRIM(D232))</f>
        <v>BILLING ISSUE</v>
      </c>
      <c r="F232" s="1" t="s">
        <v>2</v>
      </c>
      <c r="G232" s="1" t="s">
        <v>1</v>
      </c>
      <c r="H232" s="1" t="str">
        <f>IF(OR(TRIM(G232)="Yes",TRIM(G232)="YES",TRIM(G232)="Y",TRIM(G232)="yes"),"Yes","No")</f>
        <v>Yes</v>
      </c>
      <c r="I232" s="1" t="s">
        <v>0</v>
      </c>
      <c r="J232" s="1" t="str">
        <f>IF(OR(TRIM(I232)="Yes",TRIM(I232)="YES",TRIM(I232)="Y",TRIM(I232)="yes"),"Yes","No")</f>
        <v>Yes</v>
      </c>
      <c r="K232" s="1" t="s">
        <v>15</v>
      </c>
      <c r="L232" s="1" t="str">
        <f>IF(C232="","Yes","No")</f>
        <v>No</v>
      </c>
      <c r="M232" s="1">
        <f>IF(C232="", "", C232 - B232)</f>
        <v>10</v>
      </c>
      <c r="N232" s="3">
        <f>DATE(YEAR(B232),MONTH(B232),1)</f>
        <v>45627</v>
      </c>
      <c r="O232" s="2">
        <f>DATE(YEAR(B232),MONTH(B232),1)</f>
        <v>45627</v>
      </c>
    </row>
    <row r="233" spans="1:15" x14ac:dyDescent="0.2">
      <c r="A233" s="1" t="s">
        <v>197</v>
      </c>
      <c r="B233" s="3">
        <v>45608</v>
      </c>
      <c r="C233" s="3">
        <v>45612</v>
      </c>
      <c r="D233" s="1" t="s">
        <v>44</v>
      </c>
      <c r="E233" s="1" t="str">
        <f>UPPER(TRIM(D233))</f>
        <v>COMMUNICATION DELAY</v>
      </c>
      <c r="G233" s="1" t="s">
        <v>9</v>
      </c>
      <c r="H233" s="1" t="str">
        <f>IF(OR(TRIM(G233)="Yes",TRIM(G233)="YES",TRIM(G233)="Y",TRIM(G233)="yes"),"Yes","No")</f>
        <v>No</v>
      </c>
      <c r="I233" s="1" t="s">
        <v>0</v>
      </c>
      <c r="J233" s="1" t="str">
        <f>IF(OR(TRIM(I233)="Yes",TRIM(I233)="YES",TRIM(I233)="Y",TRIM(I233)="yes"),"Yes","No")</f>
        <v>Yes</v>
      </c>
      <c r="L233" s="1" t="str">
        <f>IF(C233="","Yes","No")</f>
        <v>No</v>
      </c>
      <c r="M233" s="1">
        <f>IF(C233="", "", C233 - B233)</f>
        <v>4</v>
      </c>
      <c r="N233" s="3">
        <f>DATE(YEAR(B233),MONTH(B233),1)</f>
        <v>45597</v>
      </c>
      <c r="O233" s="2">
        <f>DATE(YEAR(B233),MONTH(B233),1)</f>
        <v>45597</v>
      </c>
    </row>
    <row r="234" spans="1:15" x14ac:dyDescent="0.2">
      <c r="A234" s="1" t="s">
        <v>196</v>
      </c>
      <c r="B234" s="3">
        <v>45762</v>
      </c>
      <c r="C234" s="3">
        <v>45773</v>
      </c>
      <c r="D234" s="1" t="s">
        <v>19</v>
      </c>
      <c r="E234" s="1" t="str">
        <f>UPPER(TRIM(D234))</f>
        <v>DOC ERROR</v>
      </c>
      <c r="F234" s="1" t="s">
        <v>21</v>
      </c>
      <c r="G234" s="1" t="s">
        <v>9</v>
      </c>
      <c r="H234" s="1" t="str">
        <f>IF(OR(TRIM(G234)="Yes",TRIM(G234)="YES",TRIM(G234)="Y",TRIM(G234)="yes"),"Yes","No")</f>
        <v>No</v>
      </c>
      <c r="I234" s="1" t="s">
        <v>0</v>
      </c>
      <c r="J234" s="1" t="str">
        <f>IF(OR(TRIM(I234)="Yes",TRIM(I234)="YES",TRIM(I234)="Y",TRIM(I234)="yes"),"Yes","No")</f>
        <v>Yes</v>
      </c>
      <c r="L234" s="1" t="str">
        <f>IF(C234="","Yes","No")</f>
        <v>No</v>
      </c>
      <c r="M234" s="1">
        <f>IF(C234="", "", C234 - B234)</f>
        <v>11</v>
      </c>
      <c r="N234" s="3">
        <f>DATE(YEAR(B234),MONTH(B234),1)</f>
        <v>45748</v>
      </c>
      <c r="O234" s="2">
        <f>DATE(YEAR(B234),MONTH(B234),1)</f>
        <v>45748</v>
      </c>
    </row>
    <row r="235" spans="1:15" x14ac:dyDescent="0.2">
      <c r="A235" s="1" t="s">
        <v>164</v>
      </c>
      <c r="B235" s="3">
        <v>45594</v>
      </c>
      <c r="C235" s="3">
        <v>45597</v>
      </c>
      <c r="D235" s="1" t="s">
        <v>35</v>
      </c>
      <c r="E235" s="1" t="str">
        <f>UPPER(TRIM(D235))</f>
        <v>DOCUMENTATION ERROR</v>
      </c>
      <c r="F235" s="1" t="s">
        <v>21</v>
      </c>
      <c r="G235" s="1" t="s">
        <v>12</v>
      </c>
      <c r="H235" s="1" t="str">
        <f>IF(OR(TRIM(G235)="Yes",TRIM(G235)="YES",TRIM(G235)="Y",TRIM(G235)="yes"),"Yes","No")</f>
        <v>No</v>
      </c>
      <c r="I235" s="1" t="s">
        <v>0</v>
      </c>
      <c r="J235" s="1" t="str">
        <f>IF(OR(TRIM(I235)="Yes",TRIM(I235)="YES",TRIM(I235)="Y",TRIM(I235)="yes"),"Yes","No")</f>
        <v>Yes</v>
      </c>
      <c r="L235" s="1" t="str">
        <f>IF(C235="","Yes","No")</f>
        <v>No</v>
      </c>
      <c r="M235" s="1">
        <f>IF(C235="", "", C235 - B235)</f>
        <v>3</v>
      </c>
      <c r="N235" s="3">
        <f>DATE(YEAR(B235),MONTH(B235),1)</f>
        <v>45566</v>
      </c>
      <c r="O235" s="2">
        <f>DATE(YEAR(B235),MONTH(B235),1)</f>
        <v>45566</v>
      </c>
    </row>
    <row r="236" spans="1:15" x14ac:dyDescent="0.2">
      <c r="A236" s="1" t="s">
        <v>195</v>
      </c>
      <c r="B236" s="3">
        <v>45692</v>
      </c>
      <c r="C236" s="3">
        <v>45705</v>
      </c>
      <c r="D236" s="1" t="s">
        <v>19</v>
      </c>
      <c r="E236" s="1" t="str">
        <f>UPPER(TRIM(D236))</f>
        <v>DOC ERROR</v>
      </c>
      <c r="G236" s="1" t="s">
        <v>16</v>
      </c>
      <c r="H236" s="1" t="str">
        <f>IF(OR(TRIM(G236)="Yes",TRIM(G236)="YES",TRIM(G236)="Y",TRIM(G236)="yes"),"Yes","No")</f>
        <v>No</v>
      </c>
      <c r="J236" s="1" t="str">
        <f>IF(OR(TRIM(I236)="Yes",TRIM(I236)="YES",TRIM(I236)="Y",TRIM(I236)="yes"),"Yes","No")</f>
        <v>No</v>
      </c>
      <c r="K236" s="1" t="s">
        <v>15</v>
      </c>
      <c r="L236" s="1" t="str">
        <f>IF(C236="","Yes","No")</f>
        <v>No</v>
      </c>
      <c r="M236" s="1">
        <f>IF(C236="", "", C236 - B236)</f>
        <v>13</v>
      </c>
      <c r="N236" s="3">
        <f>DATE(YEAR(B236),MONTH(B236),1)</f>
        <v>45689</v>
      </c>
      <c r="O236" s="2">
        <f>DATE(YEAR(B236),MONTH(B236),1)</f>
        <v>45689</v>
      </c>
    </row>
    <row r="237" spans="1:15" x14ac:dyDescent="0.2">
      <c r="A237" s="1" t="s">
        <v>31</v>
      </c>
      <c r="B237" s="3">
        <v>45766</v>
      </c>
      <c r="C237" s="3">
        <v>45768</v>
      </c>
      <c r="D237" s="1" t="s">
        <v>27</v>
      </c>
      <c r="E237" s="1" t="str">
        <f>UPPER(TRIM(D237))</f>
        <v>SERVICE DELAY</v>
      </c>
      <c r="F237" s="1" t="s">
        <v>2</v>
      </c>
      <c r="G237" s="1" t="s">
        <v>16</v>
      </c>
      <c r="H237" s="1" t="str">
        <f>IF(OR(TRIM(G237)="Yes",TRIM(G237)="YES",TRIM(G237)="Y",TRIM(G237)="yes"),"Yes","No")</f>
        <v>No</v>
      </c>
      <c r="J237" s="1" t="str">
        <f>IF(OR(TRIM(I237)="Yes",TRIM(I237)="YES",TRIM(I237)="Y",TRIM(I237)="yes"),"Yes","No")</f>
        <v>No</v>
      </c>
      <c r="K237" s="1" t="s">
        <v>15</v>
      </c>
      <c r="L237" s="1" t="str">
        <f>IF(C237="","Yes","No")</f>
        <v>No</v>
      </c>
      <c r="M237" s="1">
        <f>IF(C237="", "", C237 - B237)</f>
        <v>2</v>
      </c>
      <c r="N237" s="3">
        <f>DATE(YEAR(B237),MONTH(B237),1)</f>
        <v>45748</v>
      </c>
      <c r="O237" s="2">
        <f>DATE(YEAR(B237),MONTH(B237),1)</f>
        <v>45748</v>
      </c>
    </row>
    <row r="238" spans="1:15" x14ac:dyDescent="0.2">
      <c r="A238" s="1" t="s">
        <v>36</v>
      </c>
      <c r="B238" s="3">
        <v>45733</v>
      </c>
      <c r="C238" s="3">
        <v>45739</v>
      </c>
      <c r="D238" s="1" t="s">
        <v>10</v>
      </c>
      <c r="E238" s="1" t="str">
        <f>UPPER(TRIM(D238))</f>
        <v>POLICY UPDATE</v>
      </c>
      <c r="G238" s="1" t="s">
        <v>47</v>
      </c>
      <c r="H238" s="1" t="str">
        <f>IF(OR(TRIM(G238)="Yes",TRIM(G238)="YES",TRIM(G238)="Y",TRIM(G238)="yes"),"Yes","No")</f>
        <v>Yes</v>
      </c>
      <c r="I238" s="1" t="s">
        <v>9</v>
      </c>
      <c r="J238" s="1" t="str">
        <f>IF(OR(TRIM(I238)="Yes",TRIM(I238)="YES",TRIM(I238)="Y",TRIM(I238)="yes"),"Yes","No")</f>
        <v>No</v>
      </c>
      <c r="K238" s="1" t="s">
        <v>15</v>
      </c>
      <c r="L238" s="1" t="str">
        <f>IF(C238="","Yes","No")</f>
        <v>No</v>
      </c>
      <c r="M238" s="1">
        <f>IF(C238="", "", C238 - B238)</f>
        <v>6</v>
      </c>
      <c r="N238" s="3">
        <f>DATE(YEAR(B238),MONTH(B238),1)</f>
        <v>45717</v>
      </c>
      <c r="O238" s="2">
        <f>DATE(YEAR(B238),MONTH(B238),1)</f>
        <v>45717</v>
      </c>
    </row>
    <row r="239" spans="1:15" x14ac:dyDescent="0.2">
      <c r="A239" s="1" t="s">
        <v>194</v>
      </c>
      <c r="B239" s="3">
        <v>45593</v>
      </c>
      <c r="C239" s="3">
        <v>45600</v>
      </c>
      <c r="D239" s="1" t="s">
        <v>22</v>
      </c>
      <c r="E239" s="1" t="str">
        <f>UPPER(TRIM(D239))</f>
        <v>BILLING ISSUE</v>
      </c>
      <c r="F239" s="1" t="s">
        <v>6</v>
      </c>
      <c r="G239" s="1" t="s">
        <v>0</v>
      </c>
      <c r="H239" s="1" t="str">
        <f>IF(OR(TRIM(G239)="Yes",TRIM(G239)="YES",TRIM(G239)="Y",TRIM(G239)="yes"),"Yes","No")</f>
        <v>Yes</v>
      </c>
      <c r="J239" s="1" t="str">
        <f>IF(OR(TRIM(I239)="Yes",TRIM(I239)="YES",TRIM(I239)="Y",TRIM(I239)="yes"),"Yes","No")</f>
        <v>No</v>
      </c>
      <c r="L239" s="1" t="str">
        <f>IF(C239="","Yes","No")</f>
        <v>No</v>
      </c>
      <c r="M239" s="1">
        <f>IF(C239="", "", C239 - B239)</f>
        <v>7</v>
      </c>
      <c r="N239" s="3">
        <f>DATE(YEAR(B239),MONTH(B239),1)</f>
        <v>45566</v>
      </c>
      <c r="O239" s="2">
        <f>DATE(YEAR(B239),MONTH(B239),1)</f>
        <v>45566</v>
      </c>
    </row>
    <row r="240" spans="1:15" x14ac:dyDescent="0.2">
      <c r="A240" s="1" t="s">
        <v>193</v>
      </c>
      <c r="B240" s="3">
        <v>45681</v>
      </c>
      <c r="C240" s="3">
        <v>45697</v>
      </c>
      <c r="D240" s="1" t="s">
        <v>3</v>
      </c>
      <c r="E240" s="1" t="str">
        <f>UPPER(TRIM(D240))</f>
        <v>COMMUNICATION DELAY</v>
      </c>
      <c r="H240" s="1" t="str">
        <f>IF(OR(TRIM(G240)="Yes",TRIM(G240)="YES",TRIM(G240)="Y",TRIM(G240)="yes"),"Yes","No")</f>
        <v>No</v>
      </c>
      <c r="I240" s="1" t="s">
        <v>0</v>
      </c>
      <c r="J240" s="1" t="str">
        <f>IF(OR(TRIM(I240)="Yes",TRIM(I240)="YES",TRIM(I240)="Y",TRIM(I240)="yes"),"Yes","No")</f>
        <v>Yes</v>
      </c>
      <c r="K240" s="1" t="s">
        <v>15</v>
      </c>
      <c r="L240" s="1" t="str">
        <f>IF(C240="","Yes","No")</f>
        <v>No</v>
      </c>
      <c r="M240" s="1">
        <f>IF(C240="", "", C240 - B240)</f>
        <v>16</v>
      </c>
      <c r="N240" s="3">
        <f>DATE(YEAR(B240),MONTH(B240),1)</f>
        <v>45658</v>
      </c>
      <c r="O240" s="2">
        <f>DATE(YEAR(B240),MONTH(B240),1)</f>
        <v>45658</v>
      </c>
    </row>
    <row r="241" spans="1:15" x14ac:dyDescent="0.2">
      <c r="A241" s="1" t="s">
        <v>65</v>
      </c>
      <c r="B241" s="3">
        <v>45758</v>
      </c>
      <c r="C241" s="3">
        <v>45759</v>
      </c>
      <c r="D241" s="1" t="s">
        <v>44</v>
      </c>
      <c r="E241" s="1" t="str">
        <f>UPPER(TRIM(D241))</f>
        <v>COMMUNICATION DELAY</v>
      </c>
      <c r="H241" s="1" t="str">
        <f>IF(OR(TRIM(G241)="Yes",TRIM(G241)="YES",TRIM(G241)="Y",TRIM(G241)="yes"),"Yes","No")</f>
        <v>No</v>
      </c>
      <c r="J241" s="1" t="str">
        <f>IF(OR(TRIM(I241)="Yes",TRIM(I241)="YES",TRIM(I241)="Y",TRIM(I241)="yes"),"Yes","No")</f>
        <v>No</v>
      </c>
      <c r="K241" s="1" t="s">
        <v>15</v>
      </c>
      <c r="L241" s="1" t="str">
        <f>IF(C241="","Yes","No")</f>
        <v>No</v>
      </c>
      <c r="M241" s="1">
        <f>IF(C241="", "", C241 - B241)</f>
        <v>1</v>
      </c>
      <c r="N241" s="3">
        <f>DATE(YEAR(B241),MONTH(B241),1)</f>
        <v>45748</v>
      </c>
      <c r="O241" s="2">
        <f>DATE(YEAR(B241),MONTH(B241),1)</f>
        <v>45748</v>
      </c>
    </row>
    <row r="242" spans="1:15" x14ac:dyDescent="0.2">
      <c r="A242" s="1" t="s">
        <v>185</v>
      </c>
      <c r="B242" s="3">
        <v>45688</v>
      </c>
      <c r="C242" s="3">
        <v>45694</v>
      </c>
      <c r="D242" s="1" t="s">
        <v>35</v>
      </c>
      <c r="E242" s="1" t="str">
        <f>UPPER(TRIM(D242))</f>
        <v>DOCUMENTATION ERROR</v>
      </c>
      <c r="F242" s="1" t="s">
        <v>6</v>
      </c>
      <c r="G242" s="1" t="s">
        <v>9</v>
      </c>
      <c r="H242" s="1" t="str">
        <f>IF(OR(TRIM(G242)="Yes",TRIM(G242)="YES",TRIM(G242)="Y",TRIM(G242)="yes"),"Yes","No")</f>
        <v>No</v>
      </c>
      <c r="I242" s="1" t="s">
        <v>1</v>
      </c>
      <c r="J242" s="1" t="str">
        <f>IF(OR(TRIM(I242)="Yes",TRIM(I242)="YES",TRIM(I242)="Y",TRIM(I242)="yes"),"Yes","No")</f>
        <v>Yes</v>
      </c>
      <c r="L242" s="1" t="str">
        <f>IF(C242="","Yes","No")</f>
        <v>No</v>
      </c>
      <c r="M242" s="1">
        <f>IF(C242="", "", C242 - B242)</f>
        <v>6</v>
      </c>
      <c r="N242" s="3">
        <f>DATE(YEAR(B242),MONTH(B242),1)</f>
        <v>45658</v>
      </c>
      <c r="O242" s="2">
        <f>DATE(YEAR(B242),MONTH(B242),1)</f>
        <v>45658</v>
      </c>
    </row>
    <row r="243" spans="1:15" x14ac:dyDescent="0.2">
      <c r="A243" s="1" t="s">
        <v>91</v>
      </c>
      <c r="B243" s="3">
        <v>45689</v>
      </c>
      <c r="C243" s="3">
        <v>45696</v>
      </c>
      <c r="D243" s="1" t="s">
        <v>27</v>
      </c>
      <c r="E243" s="1" t="str">
        <f>UPPER(TRIM(D243))</f>
        <v>SERVICE DELAY</v>
      </c>
      <c r="F243" s="1" t="s">
        <v>21</v>
      </c>
      <c r="G243" s="1" t="s">
        <v>16</v>
      </c>
      <c r="H243" s="1" t="str">
        <f>IF(OR(TRIM(G243)="Yes",TRIM(G243)="YES",TRIM(G243)="Y",TRIM(G243)="yes"),"Yes","No")</f>
        <v>No</v>
      </c>
      <c r="J243" s="1" t="str">
        <f>IF(OR(TRIM(I243)="Yes",TRIM(I243)="YES",TRIM(I243)="Y",TRIM(I243)="yes"),"Yes","No")</f>
        <v>No</v>
      </c>
      <c r="L243" s="1" t="str">
        <f>IF(C243="","Yes","No")</f>
        <v>No</v>
      </c>
      <c r="M243" s="1">
        <f>IF(C243="", "", C243 - B243)</f>
        <v>7</v>
      </c>
      <c r="N243" s="3">
        <f>DATE(YEAR(B243),MONTH(B243),1)</f>
        <v>45689</v>
      </c>
      <c r="O243" s="2">
        <f>DATE(YEAR(B243),MONTH(B243),1)</f>
        <v>45689</v>
      </c>
    </row>
    <row r="244" spans="1:15" x14ac:dyDescent="0.2">
      <c r="A244" s="1" t="s">
        <v>170</v>
      </c>
      <c r="B244" s="3">
        <v>45585</v>
      </c>
      <c r="C244" s="3">
        <v>45605</v>
      </c>
      <c r="D244" s="1" t="s">
        <v>19</v>
      </c>
      <c r="E244" s="1" t="str">
        <f>UPPER(TRIM(D244))</f>
        <v>DOC ERROR</v>
      </c>
      <c r="G244" s="1" t="s">
        <v>47</v>
      </c>
      <c r="H244" s="1" t="str">
        <f>IF(OR(TRIM(G244)="Yes",TRIM(G244)="YES",TRIM(G244)="Y",TRIM(G244)="yes"),"Yes","No")</f>
        <v>Yes</v>
      </c>
      <c r="I244" s="1" t="s">
        <v>0</v>
      </c>
      <c r="J244" s="1" t="str">
        <f>IF(OR(TRIM(I244)="Yes",TRIM(I244)="YES",TRIM(I244)="Y",TRIM(I244)="yes"),"Yes","No")</f>
        <v>Yes</v>
      </c>
      <c r="L244" s="1" t="str">
        <f>IF(C244="","Yes","No")</f>
        <v>No</v>
      </c>
      <c r="M244" s="1">
        <f>IF(C244="", "", C244 - B244)</f>
        <v>20</v>
      </c>
      <c r="N244" s="3">
        <f>DATE(YEAR(B244),MONTH(B244),1)</f>
        <v>45566</v>
      </c>
      <c r="O244" s="2">
        <f>DATE(YEAR(B244),MONTH(B244),1)</f>
        <v>45566</v>
      </c>
    </row>
    <row r="245" spans="1:15" x14ac:dyDescent="0.2">
      <c r="A245" s="1" t="s">
        <v>154</v>
      </c>
      <c r="B245" s="3">
        <v>45705</v>
      </c>
      <c r="C245" s="3">
        <v>45712</v>
      </c>
      <c r="D245" s="1" t="s">
        <v>22</v>
      </c>
      <c r="E245" s="1" t="str">
        <f>UPPER(TRIM(D245))</f>
        <v>BILLING ISSUE</v>
      </c>
      <c r="F245" s="1" t="s">
        <v>21</v>
      </c>
      <c r="H245" s="1" t="str">
        <f>IF(OR(TRIM(G245)="Yes",TRIM(G245)="YES",TRIM(G245)="Y",TRIM(G245)="yes"),"Yes","No")</f>
        <v>No</v>
      </c>
      <c r="J245" s="1" t="str">
        <f>IF(OR(TRIM(I245)="Yes",TRIM(I245)="YES",TRIM(I245)="Y",TRIM(I245)="yes"),"Yes","No")</f>
        <v>No</v>
      </c>
      <c r="L245" s="1" t="str">
        <f>IF(C245="","Yes","No")</f>
        <v>No</v>
      </c>
      <c r="M245" s="1">
        <f>IF(C245="", "", C245 - B245)</f>
        <v>7</v>
      </c>
      <c r="N245" s="3">
        <f>DATE(YEAR(B245),MONTH(B245),1)</f>
        <v>45689</v>
      </c>
      <c r="O245" s="2">
        <f>DATE(YEAR(B245),MONTH(B245),1)</f>
        <v>45689</v>
      </c>
    </row>
    <row r="246" spans="1:15" x14ac:dyDescent="0.2">
      <c r="A246" s="1" t="s">
        <v>14</v>
      </c>
      <c r="B246" s="3">
        <v>45588</v>
      </c>
      <c r="C246" s="3">
        <v>45606</v>
      </c>
      <c r="D246" s="1" t="s">
        <v>3</v>
      </c>
      <c r="E246" s="1" t="str">
        <f>UPPER(TRIM(D246))</f>
        <v>COMMUNICATION DELAY</v>
      </c>
      <c r="G246" s="1" t="s">
        <v>16</v>
      </c>
      <c r="H246" s="1" t="str">
        <f>IF(OR(TRIM(G246)="Yes",TRIM(G246)="YES",TRIM(G246)="Y",TRIM(G246)="yes"),"Yes","No")</f>
        <v>No</v>
      </c>
      <c r="J246" s="1" t="str">
        <f>IF(OR(TRIM(I246)="Yes",TRIM(I246)="YES",TRIM(I246)="Y",TRIM(I246)="yes"),"Yes","No")</f>
        <v>No</v>
      </c>
      <c r="K246" s="1" t="s">
        <v>15</v>
      </c>
      <c r="L246" s="1" t="str">
        <f>IF(C246="","Yes","No")</f>
        <v>No</v>
      </c>
      <c r="M246" s="1">
        <f>IF(C246="", "", C246 - B246)</f>
        <v>18</v>
      </c>
      <c r="N246" s="3">
        <f>DATE(YEAR(B246),MONTH(B246),1)</f>
        <v>45566</v>
      </c>
      <c r="O246" s="2">
        <f>DATE(YEAR(B246),MONTH(B246),1)</f>
        <v>45566</v>
      </c>
    </row>
    <row r="247" spans="1:15" x14ac:dyDescent="0.2">
      <c r="A247" s="1" t="s">
        <v>105</v>
      </c>
      <c r="B247" s="3">
        <v>45599</v>
      </c>
      <c r="D247" s="1" t="s">
        <v>35</v>
      </c>
      <c r="E247" s="1" t="str">
        <f>UPPER(TRIM(D247))</f>
        <v>DOCUMENTATION ERROR</v>
      </c>
      <c r="F247" s="1" t="s">
        <v>6</v>
      </c>
      <c r="G247" s="1" t="s">
        <v>9</v>
      </c>
      <c r="H247" s="1" t="str">
        <f>IF(OR(TRIM(G247)="Yes",TRIM(G247)="YES",TRIM(G247)="Y",TRIM(G247)="yes"),"Yes","No")</f>
        <v>No</v>
      </c>
      <c r="J247" s="1" t="str">
        <f>IF(OR(TRIM(I247)="Yes",TRIM(I247)="YES",TRIM(I247)="Y",TRIM(I247)="yes"),"Yes","No")</f>
        <v>No</v>
      </c>
      <c r="K247" s="1" t="s">
        <v>15</v>
      </c>
      <c r="L247" s="1" t="str">
        <f>IF(C247="","Yes","No")</f>
        <v>Yes</v>
      </c>
      <c r="M247" s="1" t="str">
        <f>IF(C247="", "", C247 - B247)</f>
        <v/>
      </c>
      <c r="N247" s="3">
        <f>DATE(YEAR(B247),MONTH(B247),1)</f>
        <v>45597</v>
      </c>
      <c r="O247" s="2">
        <f>DATE(YEAR(B247),MONTH(B247),1)</f>
        <v>45597</v>
      </c>
    </row>
    <row r="248" spans="1:15" x14ac:dyDescent="0.2">
      <c r="A248" s="1" t="s">
        <v>192</v>
      </c>
      <c r="B248" s="3">
        <v>45667</v>
      </c>
      <c r="C248" s="3">
        <v>45672</v>
      </c>
      <c r="D248" s="1" t="s">
        <v>10</v>
      </c>
      <c r="E248" s="1" t="str">
        <f>UPPER(TRIM(D248))</f>
        <v>POLICY UPDATE</v>
      </c>
      <c r="G248" s="1" t="s">
        <v>1</v>
      </c>
      <c r="H248" s="1" t="str">
        <f>IF(OR(TRIM(G248)="Yes",TRIM(G248)="YES",TRIM(G248)="Y",TRIM(G248)="yes"),"Yes","No")</f>
        <v>Yes</v>
      </c>
      <c r="I248" s="1" t="s">
        <v>1</v>
      </c>
      <c r="J248" s="1" t="str">
        <f>IF(OR(TRIM(I248)="Yes",TRIM(I248)="YES",TRIM(I248)="Y",TRIM(I248)="yes"),"Yes","No")</f>
        <v>Yes</v>
      </c>
      <c r="L248" s="1" t="str">
        <f>IF(C248="","Yes","No")</f>
        <v>No</v>
      </c>
      <c r="M248" s="1">
        <f>IF(C248="", "", C248 - B248)</f>
        <v>5</v>
      </c>
      <c r="N248" s="3">
        <f>DATE(YEAR(B248),MONTH(B248),1)</f>
        <v>45658</v>
      </c>
      <c r="O248" s="2">
        <f>DATE(YEAR(B248),MONTH(B248),1)</f>
        <v>45658</v>
      </c>
    </row>
    <row r="249" spans="1:15" x14ac:dyDescent="0.2">
      <c r="A249" s="1" t="s">
        <v>191</v>
      </c>
      <c r="B249" s="3">
        <v>45718</v>
      </c>
      <c r="C249" s="3">
        <v>45735</v>
      </c>
      <c r="D249" s="1" t="s">
        <v>24</v>
      </c>
      <c r="E249" s="1" t="str">
        <f>UPPER(TRIM(D249))</f>
        <v>BILLING ISSUE</v>
      </c>
      <c r="F249" s="1" t="s">
        <v>2</v>
      </c>
      <c r="H249" s="1" t="str">
        <f>IF(OR(TRIM(G249)="Yes",TRIM(G249)="YES",TRIM(G249)="Y",TRIM(G249)="yes"),"Yes","No")</f>
        <v>No</v>
      </c>
      <c r="J249" s="1" t="str">
        <f>IF(OR(TRIM(I249)="Yes",TRIM(I249)="YES",TRIM(I249)="Y",TRIM(I249)="yes"),"Yes","No")</f>
        <v>No</v>
      </c>
      <c r="K249" s="1" t="s">
        <v>29</v>
      </c>
      <c r="L249" s="1" t="str">
        <f>IF(C249="","Yes","No")</f>
        <v>No</v>
      </c>
      <c r="M249" s="1">
        <f>IF(C249="", "", C249 - B249)</f>
        <v>17</v>
      </c>
      <c r="N249" s="3">
        <f>DATE(YEAR(B249),MONTH(B249),1)</f>
        <v>45717</v>
      </c>
      <c r="O249" s="2">
        <f>DATE(YEAR(B249),MONTH(B249),1)</f>
        <v>45717</v>
      </c>
    </row>
    <row r="250" spans="1:15" x14ac:dyDescent="0.2">
      <c r="A250" s="1" t="s">
        <v>141</v>
      </c>
      <c r="B250" s="3">
        <v>45691</v>
      </c>
      <c r="C250" s="3">
        <v>45694</v>
      </c>
      <c r="D250" s="1" t="s">
        <v>3</v>
      </c>
      <c r="E250" s="1" t="str">
        <f>UPPER(TRIM(D250))</f>
        <v>COMMUNICATION DELAY</v>
      </c>
      <c r="G250" s="1" t="s">
        <v>47</v>
      </c>
      <c r="H250" s="1" t="str">
        <f>IF(OR(TRIM(G250)="Yes",TRIM(G250)="YES",TRIM(G250)="Y",TRIM(G250)="yes"),"Yes","No")</f>
        <v>Yes</v>
      </c>
      <c r="J250" s="1" t="str">
        <f>IF(OR(TRIM(I250)="Yes",TRIM(I250)="YES",TRIM(I250)="Y",TRIM(I250)="yes"),"Yes","No")</f>
        <v>No</v>
      </c>
      <c r="K250" s="1" t="s">
        <v>15</v>
      </c>
      <c r="L250" s="1" t="str">
        <f>IF(C250="","Yes","No")</f>
        <v>No</v>
      </c>
      <c r="M250" s="1">
        <f>IF(C250="", "", C250 - B250)</f>
        <v>3</v>
      </c>
      <c r="N250" s="3">
        <f>DATE(YEAR(B250),MONTH(B250),1)</f>
        <v>45689</v>
      </c>
      <c r="O250" s="2">
        <f>DATE(YEAR(B250),MONTH(B250),1)</f>
        <v>45689</v>
      </c>
    </row>
    <row r="251" spans="1:15" x14ac:dyDescent="0.2">
      <c r="A251" s="1" t="s">
        <v>112</v>
      </c>
      <c r="B251" s="3">
        <v>45666</v>
      </c>
      <c r="C251" s="3">
        <v>45676</v>
      </c>
      <c r="D251" s="1" t="s">
        <v>35</v>
      </c>
      <c r="E251" s="1" t="str">
        <f>UPPER(TRIM(D251))</f>
        <v>DOCUMENTATION ERROR</v>
      </c>
      <c r="F251" s="1" t="s">
        <v>6</v>
      </c>
      <c r="H251" s="1" t="str">
        <f>IF(OR(TRIM(G251)="Yes",TRIM(G251)="YES",TRIM(G251)="Y",TRIM(G251)="yes"),"Yes","No")</f>
        <v>No</v>
      </c>
      <c r="I251" s="1" t="s">
        <v>0</v>
      </c>
      <c r="J251" s="1" t="str">
        <f>IF(OR(TRIM(I251)="Yes",TRIM(I251)="YES",TRIM(I251)="Y",TRIM(I251)="yes"),"Yes","No")</f>
        <v>Yes</v>
      </c>
      <c r="L251" s="1" t="str">
        <f>IF(C251="","Yes","No")</f>
        <v>No</v>
      </c>
      <c r="M251" s="1">
        <f>IF(C251="", "", C251 - B251)</f>
        <v>10</v>
      </c>
      <c r="N251" s="3">
        <f>DATE(YEAR(B251),MONTH(B251),1)</f>
        <v>45658</v>
      </c>
      <c r="O251" s="2">
        <f>DATE(YEAR(B251),MONTH(B251),1)</f>
        <v>45658</v>
      </c>
    </row>
    <row r="252" spans="1:15" x14ac:dyDescent="0.2">
      <c r="A252" s="1" t="s">
        <v>54</v>
      </c>
      <c r="B252" s="3">
        <v>45627</v>
      </c>
      <c r="C252" s="3">
        <v>45644</v>
      </c>
      <c r="D252" s="1" t="s">
        <v>19</v>
      </c>
      <c r="E252" s="1" t="str">
        <f>UPPER(TRIM(D252))</f>
        <v>DOC ERROR</v>
      </c>
      <c r="F252" s="1" t="s">
        <v>6</v>
      </c>
      <c r="G252" s="1" t="s">
        <v>12</v>
      </c>
      <c r="H252" s="1" t="str">
        <f>IF(OR(TRIM(G252)="Yes",TRIM(G252)="YES",TRIM(G252)="Y",TRIM(G252)="yes"),"Yes","No")</f>
        <v>No</v>
      </c>
      <c r="I252" s="1" t="s">
        <v>9</v>
      </c>
      <c r="J252" s="1" t="str">
        <f>IF(OR(TRIM(I252)="Yes",TRIM(I252)="YES",TRIM(I252)="Y",TRIM(I252)="yes"),"Yes","No")</f>
        <v>No</v>
      </c>
      <c r="L252" s="1" t="str">
        <f>IF(C252="","Yes","No")</f>
        <v>No</v>
      </c>
      <c r="M252" s="1">
        <f>IF(C252="", "", C252 - B252)</f>
        <v>17</v>
      </c>
      <c r="N252" s="3">
        <f>DATE(YEAR(B252),MONTH(B252),1)</f>
        <v>45627</v>
      </c>
      <c r="O252" s="2">
        <f>DATE(YEAR(B252),MONTH(B252),1)</f>
        <v>45627</v>
      </c>
    </row>
    <row r="253" spans="1:15" x14ac:dyDescent="0.2">
      <c r="A253" s="1" t="s">
        <v>190</v>
      </c>
      <c r="B253" s="3">
        <v>45663</v>
      </c>
      <c r="C253" s="3">
        <v>45674</v>
      </c>
      <c r="D253" s="1" t="s">
        <v>24</v>
      </c>
      <c r="E253" s="1" t="str">
        <f>UPPER(TRIM(D253))</f>
        <v>BILLING ISSUE</v>
      </c>
      <c r="F253" s="1" t="s">
        <v>21</v>
      </c>
      <c r="H253" s="1" t="str">
        <f>IF(OR(TRIM(G253)="Yes",TRIM(G253)="YES",TRIM(G253)="Y",TRIM(G253)="yes"),"Yes","No")</f>
        <v>No</v>
      </c>
      <c r="I253" s="1" t="s">
        <v>9</v>
      </c>
      <c r="J253" s="1" t="str">
        <f>IF(OR(TRIM(I253)="Yes",TRIM(I253)="YES",TRIM(I253)="Y",TRIM(I253)="yes"),"Yes","No")</f>
        <v>No</v>
      </c>
      <c r="K253" s="1" t="s">
        <v>15</v>
      </c>
      <c r="L253" s="1" t="str">
        <f>IF(C253="","Yes","No")</f>
        <v>No</v>
      </c>
      <c r="M253" s="1">
        <f>IF(C253="", "", C253 - B253)</f>
        <v>11</v>
      </c>
      <c r="N253" s="3">
        <f>DATE(YEAR(B253),MONTH(B253),1)</f>
        <v>45658</v>
      </c>
      <c r="O253" s="2">
        <f>DATE(YEAR(B253),MONTH(B253),1)</f>
        <v>45658</v>
      </c>
    </row>
    <row r="254" spans="1:15" x14ac:dyDescent="0.2">
      <c r="A254" s="1" t="s">
        <v>189</v>
      </c>
      <c r="B254" s="3">
        <v>45659</v>
      </c>
      <c r="C254" s="3">
        <v>45671</v>
      </c>
      <c r="D254" s="1" t="s">
        <v>24</v>
      </c>
      <c r="E254" s="1" t="str">
        <f>UPPER(TRIM(D254))</f>
        <v>BILLING ISSUE</v>
      </c>
      <c r="F254" s="1" t="s">
        <v>6</v>
      </c>
      <c r="G254" s="1" t="s">
        <v>12</v>
      </c>
      <c r="H254" s="1" t="str">
        <f>IF(OR(TRIM(G254)="Yes",TRIM(G254)="YES",TRIM(G254)="Y",TRIM(G254)="yes"),"Yes","No")</f>
        <v>No</v>
      </c>
      <c r="I254" s="1" t="s">
        <v>1</v>
      </c>
      <c r="J254" s="1" t="str">
        <f>IF(OR(TRIM(I254)="Yes",TRIM(I254)="YES",TRIM(I254)="Y",TRIM(I254)="yes"),"Yes","No")</f>
        <v>Yes</v>
      </c>
      <c r="K254" s="1" t="s">
        <v>29</v>
      </c>
      <c r="L254" s="1" t="str">
        <f>IF(C254="","Yes","No")</f>
        <v>No</v>
      </c>
      <c r="M254" s="1">
        <f>IF(C254="", "", C254 - B254)</f>
        <v>12</v>
      </c>
      <c r="N254" s="3">
        <f>DATE(YEAR(B254),MONTH(B254),1)</f>
        <v>45658</v>
      </c>
      <c r="O254" s="2">
        <f>DATE(YEAR(B254),MONTH(B254),1)</f>
        <v>45658</v>
      </c>
    </row>
    <row r="255" spans="1:15" x14ac:dyDescent="0.2">
      <c r="A255" s="1" t="s">
        <v>132</v>
      </c>
      <c r="B255" s="3">
        <v>45590</v>
      </c>
      <c r="C255" s="3">
        <v>45607</v>
      </c>
      <c r="D255" s="1" t="s">
        <v>3</v>
      </c>
      <c r="E255" s="1" t="str">
        <f>UPPER(TRIM(D255))</f>
        <v>COMMUNICATION DELAY</v>
      </c>
      <c r="F255" s="1" t="s">
        <v>6</v>
      </c>
      <c r="G255" s="1" t="s">
        <v>9</v>
      </c>
      <c r="H255" s="1" t="str">
        <f>IF(OR(TRIM(G255)="Yes",TRIM(G255)="YES",TRIM(G255)="Y",TRIM(G255)="yes"),"Yes","No")</f>
        <v>No</v>
      </c>
      <c r="I255" s="1" t="s">
        <v>16</v>
      </c>
      <c r="J255" s="1" t="str">
        <f>IF(OR(TRIM(I255)="Yes",TRIM(I255)="YES",TRIM(I255)="Y",TRIM(I255)="yes"),"Yes","No")</f>
        <v>No</v>
      </c>
      <c r="L255" s="1" t="str">
        <f>IF(C255="","Yes","No")</f>
        <v>No</v>
      </c>
      <c r="M255" s="1">
        <f>IF(C255="", "", C255 - B255)</f>
        <v>17</v>
      </c>
      <c r="N255" s="3">
        <f>DATE(YEAR(B255),MONTH(B255),1)</f>
        <v>45566</v>
      </c>
      <c r="O255" s="2">
        <f>DATE(YEAR(B255),MONTH(B255),1)</f>
        <v>45566</v>
      </c>
    </row>
    <row r="256" spans="1:15" x14ac:dyDescent="0.2">
      <c r="A256" s="1" t="s">
        <v>188</v>
      </c>
      <c r="B256" s="3">
        <v>45662</v>
      </c>
      <c r="D256" s="1" t="s">
        <v>35</v>
      </c>
      <c r="E256" s="1" t="str">
        <f>UPPER(TRIM(D256))</f>
        <v>DOCUMENTATION ERROR</v>
      </c>
      <c r="F256" s="1" t="s">
        <v>21</v>
      </c>
      <c r="G256" s="1" t="s">
        <v>0</v>
      </c>
      <c r="H256" s="1" t="str">
        <f>IF(OR(TRIM(G256)="Yes",TRIM(G256)="YES",TRIM(G256)="Y",TRIM(G256)="yes"),"Yes","No")</f>
        <v>Yes</v>
      </c>
      <c r="I256" s="1" t="s">
        <v>0</v>
      </c>
      <c r="J256" s="1" t="str">
        <f>IF(OR(TRIM(I256)="Yes",TRIM(I256)="YES",TRIM(I256)="Y",TRIM(I256)="yes"),"Yes","No")</f>
        <v>Yes</v>
      </c>
      <c r="K256" s="1" t="s">
        <v>29</v>
      </c>
      <c r="L256" s="1" t="str">
        <f>IF(C256="","Yes","No")</f>
        <v>Yes</v>
      </c>
      <c r="M256" s="1" t="str">
        <f>IF(C256="", "", C256 - B256)</f>
        <v/>
      </c>
      <c r="N256" s="3">
        <f>DATE(YEAR(B256),MONTH(B256),1)</f>
        <v>45658</v>
      </c>
      <c r="O256" s="2">
        <f>DATE(YEAR(B256),MONTH(B256),1)</f>
        <v>45658</v>
      </c>
    </row>
    <row r="257" spans="1:15" x14ac:dyDescent="0.2">
      <c r="A257" s="1" t="s">
        <v>187</v>
      </c>
      <c r="B257" s="3">
        <v>45624</v>
      </c>
      <c r="D257" s="1" t="s">
        <v>35</v>
      </c>
      <c r="E257" s="1" t="str">
        <f>UPPER(TRIM(D257))</f>
        <v>DOCUMENTATION ERROR</v>
      </c>
      <c r="F257" s="1" t="s">
        <v>6</v>
      </c>
      <c r="G257" s="1" t="s">
        <v>47</v>
      </c>
      <c r="H257" s="1" t="str">
        <f>IF(OR(TRIM(G257)="Yes",TRIM(G257)="YES",TRIM(G257)="Y",TRIM(G257)="yes"),"Yes","No")</f>
        <v>Yes</v>
      </c>
      <c r="I257" s="1" t="s">
        <v>9</v>
      </c>
      <c r="J257" s="1" t="str">
        <f>IF(OR(TRIM(I257)="Yes",TRIM(I257)="YES",TRIM(I257)="Y",TRIM(I257)="yes"),"Yes","No")</f>
        <v>No</v>
      </c>
      <c r="K257" s="1" t="s">
        <v>15</v>
      </c>
      <c r="L257" s="1" t="str">
        <f>IF(C257="","Yes","No")</f>
        <v>Yes</v>
      </c>
      <c r="M257" s="1" t="str">
        <f>IF(C257="", "", C257 - B257)</f>
        <v/>
      </c>
      <c r="N257" s="3">
        <f>DATE(YEAR(B257),MONTH(B257),1)</f>
        <v>45597</v>
      </c>
      <c r="O257" s="2">
        <f>DATE(YEAR(B257),MONTH(B257),1)</f>
        <v>45597</v>
      </c>
    </row>
    <row r="258" spans="1:15" x14ac:dyDescent="0.2">
      <c r="A258" s="1" t="s">
        <v>186</v>
      </c>
      <c r="B258" s="3">
        <v>45642</v>
      </c>
      <c r="C258" s="3">
        <v>45644</v>
      </c>
      <c r="D258" s="1" t="s">
        <v>7</v>
      </c>
      <c r="E258" s="1" t="str">
        <f>UPPER(TRIM(D258))</f>
        <v>BILLING ISSUE</v>
      </c>
      <c r="F258" s="1" t="s">
        <v>18</v>
      </c>
      <c r="G258" s="1" t="s">
        <v>0</v>
      </c>
      <c r="H258" s="1" t="str">
        <f>IF(OR(TRIM(G258)="Yes",TRIM(G258)="YES",TRIM(G258)="Y",TRIM(G258)="yes"),"Yes","No")</f>
        <v>Yes</v>
      </c>
      <c r="J258" s="1" t="str">
        <f>IF(OR(TRIM(I258)="Yes",TRIM(I258)="YES",TRIM(I258)="Y",TRIM(I258)="yes"),"Yes","No")</f>
        <v>No</v>
      </c>
      <c r="K258" s="1" t="s">
        <v>5</v>
      </c>
      <c r="L258" s="1" t="str">
        <f>IF(C258="","Yes","No")</f>
        <v>No</v>
      </c>
      <c r="M258" s="1">
        <f>IF(C258="", "", C258 - B258)</f>
        <v>2</v>
      </c>
      <c r="N258" s="3">
        <f>DATE(YEAR(B258),MONTH(B258),1)</f>
        <v>45627</v>
      </c>
      <c r="O258" s="2">
        <f>DATE(YEAR(B258),MONTH(B258),1)</f>
        <v>45627</v>
      </c>
    </row>
    <row r="259" spans="1:15" x14ac:dyDescent="0.2">
      <c r="A259" s="1" t="s">
        <v>185</v>
      </c>
      <c r="B259" s="3">
        <v>45736</v>
      </c>
      <c r="C259" s="3">
        <v>45746</v>
      </c>
      <c r="D259" s="1" t="s">
        <v>44</v>
      </c>
      <c r="E259" s="1" t="str">
        <f>UPPER(TRIM(D259))</f>
        <v>COMMUNICATION DELAY</v>
      </c>
      <c r="G259" s="1" t="s">
        <v>12</v>
      </c>
      <c r="H259" s="1" t="str">
        <f>IF(OR(TRIM(G259)="Yes",TRIM(G259)="YES",TRIM(G259)="Y",TRIM(G259)="yes"),"Yes","No")</f>
        <v>No</v>
      </c>
      <c r="I259" s="1" t="s">
        <v>0</v>
      </c>
      <c r="J259" s="1" t="str">
        <f>IF(OR(TRIM(I259)="Yes",TRIM(I259)="YES",TRIM(I259)="Y",TRIM(I259)="yes"),"Yes","No")</f>
        <v>Yes</v>
      </c>
      <c r="K259" s="1" t="s">
        <v>5</v>
      </c>
      <c r="L259" s="1" t="str">
        <f>IF(C259="","Yes","No")</f>
        <v>No</v>
      </c>
      <c r="M259" s="1">
        <f>IF(C259="", "", C259 - B259)</f>
        <v>10</v>
      </c>
      <c r="N259" s="3">
        <f>DATE(YEAR(B259),MONTH(B259),1)</f>
        <v>45717</v>
      </c>
      <c r="O259" s="2">
        <f>DATE(YEAR(B259),MONTH(B259),1)</f>
        <v>45717</v>
      </c>
    </row>
    <row r="260" spans="1:15" x14ac:dyDescent="0.2">
      <c r="A260" s="1" t="s">
        <v>184</v>
      </c>
      <c r="B260" s="3">
        <v>45732</v>
      </c>
      <c r="C260" s="3">
        <v>45746</v>
      </c>
      <c r="D260" s="1" t="s">
        <v>33</v>
      </c>
      <c r="E260" s="1" t="str">
        <f>UPPER(TRIM(D260))</f>
        <v>POLICY UPDATE</v>
      </c>
      <c r="F260" s="1" t="s">
        <v>6</v>
      </c>
      <c r="G260" s="1" t="s">
        <v>16</v>
      </c>
      <c r="H260" s="1" t="str">
        <f>IF(OR(TRIM(G260)="Yes",TRIM(G260)="YES",TRIM(G260)="Y",TRIM(G260)="yes"),"Yes","No")</f>
        <v>No</v>
      </c>
      <c r="I260" s="1" t="s">
        <v>1</v>
      </c>
      <c r="J260" s="1" t="str">
        <f>IF(OR(TRIM(I260)="Yes",TRIM(I260)="YES",TRIM(I260)="Y",TRIM(I260)="yes"),"Yes","No")</f>
        <v>Yes</v>
      </c>
      <c r="L260" s="1" t="str">
        <f>IF(C260="","Yes","No")</f>
        <v>No</v>
      </c>
      <c r="M260" s="1">
        <f>IF(C260="", "", C260 - B260)</f>
        <v>14</v>
      </c>
      <c r="N260" s="3">
        <f>DATE(YEAR(B260),MONTH(B260),1)</f>
        <v>45717</v>
      </c>
      <c r="O260" s="2">
        <f>DATE(YEAR(B260),MONTH(B260),1)</f>
        <v>45717</v>
      </c>
    </row>
    <row r="261" spans="1:15" x14ac:dyDescent="0.2">
      <c r="A261" s="1" t="s">
        <v>173</v>
      </c>
      <c r="B261" s="3">
        <v>45674</v>
      </c>
      <c r="C261" s="3">
        <v>45684</v>
      </c>
      <c r="D261" s="1" t="s">
        <v>44</v>
      </c>
      <c r="E261" s="1" t="str">
        <f>UPPER(TRIM(D261))</f>
        <v>COMMUNICATION DELAY</v>
      </c>
      <c r="F261" s="1" t="s">
        <v>2</v>
      </c>
      <c r="G261" s="1" t="s">
        <v>16</v>
      </c>
      <c r="H261" s="1" t="str">
        <f>IF(OR(TRIM(G261)="Yes",TRIM(G261)="YES",TRIM(G261)="Y",TRIM(G261)="yes"),"Yes","No")</f>
        <v>No</v>
      </c>
      <c r="I261" s="1" t="s">
        <v>16</v>
      </c>
      <c r="J261" s="1" t="str">
        <f>IF(OR(TRIM(I261)="Yes",TRIM(I261)="YES",TRIM(I261)="Y",TRIM(I261)="yes"),"Yes","No")</f>
        <v>No</v>
      </c>
      <c r="K261" s="1" t="s">
        <v>5</v>
      </c>
      <c r="L261" s="1" t="str">
        <f>IF(C261="","Yes","No")</f>
        <v>No</v>
      </c>
      <c r="M261" s="1">
        <f>IF(C261="", "", C261 - B261)</f>
        <v>10</v>
      </c>
      <c r="N261" s="3">
        <f>DATE(YEAR(B261),MONTH(B261),1)</f>
        <v>45658</v>
      </c>
      <c r="O261" s="2">
        <f>DATE(YEAR(B261),MONTH(B261),1)</f>
        <v>45658</v>
      </c>
    </row>
    <row r="262" spans="1:15" x14ac:dyDescent="0.2">
      <c r="A262" s="1" t="s">
        <v>179</v>
      </c>
      <c r="B262" s="3">
        <v>45646</v>
      </c>
      <c r="C262" s="3">
        <v>45647</v>
      </c>
      <c r="D262" s="1" t="s">
        <v>22</v>
      </c>
      <c r="E262" s="1" t="str">
        <f>UPPER(TRIM(D262))</f>
        <v>BILLING ISSUE</v>
      </c>
      <c r="F262" s="1" t="s">
        <v>6</v>
      </c>
      <c r="G262" s="1" t="s">
        <v>12</v>
      </c>
      <c r="H262" s="1" t="str">
        <f>IF(OR(TRIM(G262)="Yes",TRIM(G262)="YES",TRIM(G262)="Y",TRIM(G262)="yes"),"Yes","No")</f>
        <v>No</v>
      </c>
      <c r="I262" s="1" t="s">
        <v>9</v>
      </c>
      <c r="J262" s="1" t="str">
        <f>IF(OR(TRIM(I262)="Yes",TRIM(I262)="YES",TRIM(I262)="Y",TRIM(I262)="yes"),"Yes","No")</f>
        <v>No</v>
      </c>
      <c r="K262" s="1" t="s">
        <v>15</v>
      </c>
      <c r="L262" s="1" t="str">
        <f>IF(C262="","Yes","No")</f>
        <v>No</v>
      </c>
      <c r="M262" s="1">
        <f>IF(C262="", "", C262 - B262)</f>
        <v>1</v>
      </c>
      <c r="N262" s="3">
        <f>DATE(YEAR(B262),MONTH(B262),1)</f>
        <v>45627</v>
      </c>
      <c r="O262" s="2">
        <f>DATE(YEAR(B262),MONTH(B262),1)</f>
        <v>45627</v>
      </c>
    </row>
    <row r="263" spans="1:15" x14ac:dyDescent="0.2">
      <c r="A263" s="1" t="s">
        <v>183</v>
      </c>
      <c r="B263" s="3">
        <v>45626</v>
      </c>
      <c r="C263" s="3">
        <v>45627</v>
      </c>
      <c r="D263" s="1" t="s">
        <v>22</v>
      </c>
      <c r="E263" s="1" t="str">
        <f>UPPER(TRIM(D263))</f>
        <v>BILLING ISSUE</v>
      </c>
      <c r="F263" s="1" t="s">
        <v>6</v>
      </c>
      <c r="H263" s="1" t="str">
        <f>IF(OR(TRIM(G263)="Yes",TRIM(G263)="YES",TRIM(G263)="Y",TRIM(G263)="yes"),"Yes","No")</f>
        <v>No</v>
      </c>
      <c r="I263" s="1" t="s">
        <v>9</v>
      </c>
      <c r="J263" s="1" t="str">
        <f>IF(OR(TRIM(I263)="Yes",TRIM(I263)="YES",TRIM(I263)="Y",TRIM(I263)="yes"),"Yes","No")</f>
        <v>No</v>
      </c>
      <c r="K263" s="1" t="s">
        <v>29</v>
      </c>
      <c r="L263" s="1" t="str">
        <f>IF(C263="","Yes","No")</f>
        <v>No</v>
      </c>
      <c r="M263" s="1">
        <f>IF(C263="", "", C263 - B263)</f>
        <v>1</v>
      </c>
      <c r="N263" s="3">
        <f>DATE(YEAR(B263),MONTH(B263),1)</f>
        <v>45597</v>
      </c>
      <c r="O263" s="2">
        <f>DATE(YEAR(B263),MONTH(B263),1)</f>
        <v>45597</v>
      </c>
    </row>
    <row r="264" spans="1:15" x14ac:dyDescent="0.2">
      <c r="A264" s="1" t="s">
        <v>182</v>
      </c>
      <c r="B264" s="3">
        <v>45638</v>
      </c>
      <c r="D264" s="1" t="s">
        <v>33</v>
      </c>
      <c r="E264" s="1" t="str">
        <f>UPPER(TRIM(D264))</f>
        <v>POLICY UPDATE</v>
      </c>
      <c r="G264" s="1" t="s">
        <v>0</v>
      </c>
      <c r="H264" s="1" t="str">
        <f>IF(OR(TRIM(G264)="Yes",TRIM(G264)="YES",TRIM(G264)="Y",TRIM(G264)="yes"),"Yes","No")</f>
        <v>Yes</v>
      </c>
      <c r="I264" s="1" t="s">
        <v>0</v>
      </c>
      <c r="J264" s="1" t="str">
        <f>IF(OR(TRIM(I264)="Yes",TRIM(I264)="YES",TRIM(I264)="Y",TRIM(I264)="yes"),"Yes","No")</f>
        <v>Yes</v>
      </c>
      <c r="K264" s="1" t="s">
        <v>15</v>
      </c>
      <c r="L264" s="1" t="str">
        <f>IF(C264="","Yes","No")</f>
        <v>Yes</v>
      </c>
      <c r="M264" s="1" t="str">
        <f>IF(C264="", "", C264 - B264)</f>
        <v/>
      </c>
      <c r="N264" s="3">
        <f>DATE(YEAR(B264),MONTH(B264),1)</f>
        <v>45627</v>
      </c>
      <c r="O264" s="2">
        <f>DATE(YEAR(B264),MONTH(B264),1)</f>
        <v>45627</v>
      </c>
    </row>
    <row r="265" spans="1:15" x14ac:dyDescent="0.2">
      <c r="A265" s="1" t="s">
        <v>179</v>
      </c>
      <c r="B265" s="3">
        <v>45706</v>
      </c>
      <c r="D265" s="1" t="s">
        <v>3</v>
      </c>
      <c r="E265" s="1" t="str">
        <f>UPPER(TRIM(D265))</f>
        <v>COMMUNICATION DELAY</v>
      </c>
      <c r="G265" s="1" t="s">
        <v>12</v>
      </c>
      <c r="H265" s="1" t="str">
        <f>IF(OR(TRIM(G265)="Yes",TRIM(G265)="YES",TRIM(G265)="Y",TRIM(G265)="yes"),"Yes","No")</f>
        <v>No</v>
      </c>
      <c r="I265" s="1" t="s">
        <v>9</v>
      </c>
      <c r="J265" s="1" t="str">
        <f>IF(OR(TRIM(I265)="Yes",TRIM(I265)="YES",TRIM(I265)="Y",TRIM(I265)="yes"),"Yes","No")</f>
        <v>No</v>
      </c>
      <c r="K265" s="1" t="s">
        <v>5</v>
      </c>
      <c r="L265" s="1" t="str">
        <f>IF(C265="","Yes","No")</f>
        <v>Yes</v>
      </c>
      <c r="M265" s="1" t="str">
        <f>IF(C265="", "", C265 - B265)</f>
        <v/>
      </c>
      <c r="N265" s="3">
        <f>DATE(YEAR(B265),MONTH(B265),1)</f>
        <v>45689</v>
      </c>
      <c r="O265" s="2">
        <f>DATE(YEAR(B265),MONTH(B265),1)</f>
        <v>45689</v>
      </c>
    </row>
    <row r="266" spans="1:15" x14ac:dyDescent="0.2">
      <c r="A266" s="1" t="s">
        <v>56</v>
      </c>
      <c r="B266" s="3">
        <v>45700</v>
      </c>
      <c r="D266" s="1" t="s">
        <v>35</v>
      </c>
      <c r="E266" s="1" t="str">
        <f>UPPER(TRIM(D266))</f>
        <v>DOCUMENTATION ERROR</v>
      </c>
      <c r="F266" s="1" t="s">
        <v>2</v>
      </c>
      <c r="G266" s="1" t="s">
        <v>47</v>
      </c>
      <c r="H266" s="1" t="str">
        <f>IF(OR(TRIM(G266)="Yes",TRIM(G266)="YES",TRIM(G266)="Y",TRIM(G266)="yes"),"Yes","No")</f>
        <v>Yes</v>
      </c>
      <c r="J266" s="1" t="str">
        <f>IF(OR(TRIM(I266)="Yes",TRIM(I266)="YES",TRIM(I266)="Y",TRIM(I266)="yes"),"Yes","No")</f>
        <v>No</v>
      </c>
      <c r="K266" s="1" t="s">
        <v>15</v>
      </c>
      <c r="L266" s="1" t="str">
        <f>IF(C266="","Yes","No")</f>
        <v>Yes</v>
      </c>
      <c r="M266" s="1" t="str">
        <f>IF(C266="", "", C266 - B266)</f>
        <v/>
      </c>
      <c r="N266" s="3">
        <f>DATE(YEAR(B266),MONTH(B266),1)</f>
        <v>45689</v>
      </c>
      <c r="O266" s="2">
        <f>DATE(YEAR(B266),MONTH(B266),1)</f>
        <v>45689</v>
      </c>
    </row>
    <row r="267" spans="1:15" x14ac:dyDescent="0.2">
      <c r="A267" s="1" t="s">
        <v>181</v>
      </c>
      <c r="B267" s="3">
        <v>45617</v>
      </c>
      <c r="C267" s="3">
        <v>45635</v>
      </c>
      <c r="D267" s="1" t="s">
        <v>19</v>
      </c>
      <c r="E267" s="1" t="str">
        <f>UPPER(TRIM(D267))</f>
        <v>DOC ERROR</v>
      </c>
      <c r="G267" s="1" t="s">
        <v>47</v>
      </c>
      <c r="H267" s="1" t="str">
        <f>IF(OR(TRIM(G267)="Yes",TRIM(G267)="YES",TRIM(G267)="Y",TRIM(G267)="yes"),"Yes","No")</f>
        <v>Yes</v>
      </c>
      <c r="I267" s="1" t="s">
        <v>1</v>
      </c>
      <c r="J267" s="1" t="str">
        <f>IF(OR(TRIM(I267)="Yes",TRIM(I267)="YES",TRIM(I267)="Y",TRIM(I267)="yes"),"Yes","No")</f>
        <v>Yes</v>
      </c>
      <c r="K267" s="1" t="s">
        <v>29</v>
      </c>
      <c r="L267" s="1" t="str">
        <f>IF(C267="","Yes","No")</f>
        <v>No</v>
      </c>
      <c r="M267" s="1">
        <f>IF(C267="", "", C267 - B267)</f>
        <v>18</v>
      </c>
      <c r="N267" s="3">
        <f>DATE(YEAR(B267),MONTH(B267),1)</f>
        <v>45597</v>
      </c>
      <c r="O267" s="2">
        <f>DATE(YEAR(B267),MONTH(B267),1)</f>
        <v>45597</v>
      </c>
    </row>
    <row r="268" spans="1:15" x14ac:dyDescent="0.2">
      <c r="A268" s="1" t="s">
        <v>40</v>
      </c>
      <c r="B268" s="3">
        <v>45709</v>
      </c>
      <c r="C268" s="3">
        <v>45720</v>
      </c>
      <c r="D268" s="1" t="s">
        <v>3</v>
      </c>
      <c r="E268" s="1" t="str">
        <f>UPPER(TRIM(D268))</f>
        <v>COMMUNICATION DELAY</v>
      </c>
      <c r="H268" s="1" t="str">
        <f>IF(OR(TRIM(G268)="Yes",TRIM(G268)="YES",TRIM(G268)="Y",TRIM(G268)="yes"),"Yes","No")</f>
        <v>No</v>
      </c>
      <c r="J268" s="1" t="str">
        <f>IF(OR(TRIM(I268)="Yes",TRIM(I268)="YES",TRIM(I268)="Y",TRIM(I268)="yes"),"Yes","No")</f>
        <v>No</v>
      </c>
      <c r="K268" s="1" t="s">
        <v>29</v>
      </c>
      <c r="L268" s="1" t="str">
        <f>IF(C268="","Yes","No")</f>
        <v>No</v>
      </c>
      <c r="M268" s="1">
        <f>IF(C268="", "", C268 - B268)</f>
        <v>11</v>
      </c>
      <c r="N268" s="3">
        <f>DATE(YEAR(B268),MONTH(B268),1)</f>
        <v>45689</v>
      </c>
      <c r="O268" s="2">
        <f>DATE(YEAR(B268),MONTH(B268),1)</f>
        <v>45689</v>
      </c>
    </row>
    <row r="269" spans="1:15" x14ac:dyDescent="0.2">
      <c r="A269" s="1" t="s">
        <v>180</v>
      </c>
      <c r="B269" s="3">
        <v>45746</v>
      </c>
      <c r="C269" s="3">
        <v>45749</v>
      </c>
      <c r="D269" s="1" t="s">
        <v>3</v>
      </c>
      <c r="E269" s="1" t="str">
        <f>UPPER(TRIM(D269))</f>
        <v>COMMUNICATION DELAY</v>
      </c>
      <c r="G269" s="1" t="s">
        <v>0</v>
      </c>
      <c r="H269" s="1" t="str">
        <f>IF(OR(TRIM(G269)="Yes",TRIM(G269)="YES",TRIM(G269)="Y",TRIM(G269)="yes"),"Yes","No")</f>
        <v>Yes</v>
      </c>
      <c r="I269" s="1" t="s">
        <v>1</v>
      </c>
      <c r="J269" s="1" t="str">
        <f>IF(OR(TRIM(I269)="Yes",TRIM(I269)="YES",TRIM(I269)="Y",TRIM(I269)="yes"),"Yes","No")</f>
        <v>Yes</v>
      </c>
      <c r="K269" s="1" t="s">
        <v>5</v>
      </c>
      <c r="L269" s="1" t="str">
        <f>IF(C269="","Yes","No")</f>
        <v>No</v>
      </c>
      <c r="M269" s="1">
        <f>IF(C269="", "", C269 - B269)</f>
        <v>3</v>
      </c>
      <c r="N269" s="3">
        <f>DATE(YEAR(B269),MONTH(B269),1)</f>
        <v>45717</v>
      </c>
      <c r="O269" s="2">
        <f>DATE(YEAR(B269),MONTH(B269),1)</f>
        <v>45717</v>
      </c>
    </row>
    <row r="270" spans="1:15" x14ac:dyDescent="0.2">
      <c r="A270" s="1" t="s">
        <v>179</v>
      </c>
      <c r="B270" s="3">
        <v>45630</v>
      </c>
      <c r="C270" s="3">
        <v>45649</v>
      </c>
      <c r="D270" s="1" t="s">
        <v>22</v>
      </c>
      <c r="E270" s="1" t="str">
        <f>UPPER(TRIM(D270))</f>
        <v>BILLING ISSUE</v>
      </c>
      <c r="G270" s="1" t="s">
        <v>47</v>
      </c>
      <c r="H270" s="1" t="str">
        <f>IF(OR(TRIM(G270)="Yes",TRIM(G270)="YES",TRIM(G270)="Y",TRIM(G270)="yes"),"Yes","No")</f>
        <v>Yes</v>
      </c>
      <c r="I270" s="1" t="s">
        <v>16</v>
      </c>
      <c r="J270" s="1" t="str">
        <f>IF(OR(TRIM(I270)="Yes",TRIM(I270)="YES",TRIM(I270)="Y",TRIM(I270)="yes"),"Yes","No")</f>
        <v>No</v>
      </c>
      <c r="L270" s="1" t="str">
        <f>IF(C270="","Yes","No")</f>
        <v>No</v>
      </c>
      <c r="M270" s="1">
        <f>IF(C270="", "", C270 - B270)</f>
        <v>19</v>
      </c>
      <c r="N270" s="3">
        <f>DATE(YEAR(B270),MONTH(B270),1)</f>
        <v>45627</v>
      </c>
      <c r="O270" s="2">
        <f>DATE(YEAR(B270),MONTH(B270),1)</f>
        <v>45627</v>
      </c>
    </row>
    <row r="271" spans="1:15" x14ac:dyDescent="0.2">
      <c r="A271" s="1" t="s">
        <v>171</v>
      </c>
      <c r="B271" s="3">
        <v>45703</v>
      </c>
      <c r="C271" s="3">
        <v>45722</v>
      </c>
      <c r="D271" s="1" t="s">
        <v>10</v>
      </c>
      <c r="E271" s="1" t="str">
        <f>UPPER(TRIM(D271))</f>
        <v>POLICY UPDATE</v>
      </c>
      <c r="G271" s="1" t="s">
        <v>0</v>
      </c>
      <c r="H271" s="1" t="str">
        <f>IF(OR(TRIM(G271)="Yes",TRIM(G271)="YES",TRIM(G271)="Y",TRIM(G271)="yes"),"Yes","No")</f>
        <v>Yes</v>
      </c>
      <c r="J271" s="1" t="str">
        <f>IF(OR(TRIM(I271)="Yes",TRIM(I271)="YES",TRIM(I271)="Y",TRIM(I271)="yes"),"Yes","No")</f>
        <v>No</v>
      </c>
      <c r="K271" s="1" t="s">
        <v>15</v>
      </c>
      <c r="L271" s="1" t="str">
        <f>IF(C271="","Yes","No")</f>
        <v>No</v>
      </c>
      <c r="M271" s="1">
        <f>IF(C271="", "", C271 - B271)</f>
        <v>19</v>
      </c>
      <c r="N271" s="3">
        <f>DATE(YEAR(B271),MONTH(B271),1)</f>
        <v>45689</v>
      </c>
      <c r="O271" s="2">
        <f>DATE(YEAR(B271),MONTH(B271),1)</f>
        <v>45689</v>
      </c>
    </row>
    <row r="272" spans="1:15" x14ac:dyDescent="0.2">
      <c r="A272" s="1" t="s">
        <v>178</v>
      </c>
      <c r="B272" s="3">
        <v>45746</v>
      </c>
      <c r="C272" s="3">
        <v>45750</v>
      </c>
      <c r="D272" s="1" t="s">
        <v>10</v>
      </c>
      <c r="E272" s="1" t="str">
        <f>UPPER(TRIM(D272))</f>
        <v>POLICY UPDATE</v>
      </c>
      <c r="G272" s="1" t="s">
        <v>12</v>
      </c>
      <c r="H272" s="1" t="str">
        <f>IF(OR(TRIM(G272)="Yes",TRIM(G272)="YES",TRIM(G272)="Y",TRIM(G272)="yes"),"Yes","No")</f>
        <v>No</v>
      </c>
      <c r="J272" s="1" t="str">
        <f>IF(OR(TRIM(I272)="Yes",TRIM(I272)="YES",TRIM(I272)="Y",TRIM(I272)="yes"),"Yes","No")</f>
        <v>No</v>
      </c>
      <c r="K272" s="1" t="s">
        <v>15</v>
      </c>
      <c r="L272" s="1" t="str">
        <f>IF(C272="","Yes","No")</f>
        <v>No</v>
      </c>
      <c r="M272" s="1">
        <f>IF(C272="", "", C272 - B272)</f>
        <v>4</v>
      </c>
      <c r="N272" s="3">
        <f>DATE(YEAR(B272),MONTH(B272),1)</f>
        <v>45717</v>
      </c>
      <c r="O272" s="2">
        <f>DATE(YEAR(B272),MONTH(B272),1)</f>
        <v>45717</v>
      </c>
    </row>
    <row r="273" spans="1:15" x14ac:dyDescent="0.2">
      <c r="A273" s="1" t="s">
        <v>177</v>
      </c>
      <c r="B273" s="3">
        <v>45625</v>
      </c>
      <c r="C273" s="3">
        <v>45634</v>
      </c>
      <c r="D273" s="1" t="s">
        <v>3</v>
      </c>
      <c r="E273" s="1" t="str">
        <f>UPPER(TRIM(D273))</f>
        <v>COMMUNICATION DELAY</v>
      </c>
      <c r="F273" s="1" t="s">
        <v>6</v>
      </c>
      <c r="G273" s="1" t="s">
        <v>1</v>
      </c>
      <c r="H273" s="1" t="str">
        <f>IF(OR(TRIM(G273)="Yes",TRIM(G273)="YES",TRIM(G273)="Y",TRIM(G273)="yes"),"Yes","No")</f>
        <v>Yes</v>
      </c>
      <c r="I273" s="1" t="s">
        <v>1</v>
      </c>
      <c r="J273" s="1" t="str">
        <f>IF(OR(TRIM(I273)="Yes",TRIM(I273)="YES",TRIM(I273)="Y",TRIM(I273)="yes"),"Yes","No")</f>
        <v>Yes</v>
      </c>
      <c r="L273" s="1" t="str">
        <f>IF(C273="","Yes","No")</f>
        <v>No</v>
      </c>
      <c r="M273" s="1">
        <f>IF(C273="", "", C273 - B273)</f>
        <v>9</v>
      </c>
      <c r="N273" s="3">
        <f>DATE(YEAR(B273),MONTH(B273),1)</f>
        <v>45597</v>
      </c>
      <c r="O273" s="2">
        <f>DATE(YEAR(B273),MONTH(B273),1)</f>
        <v>45597</v>
      </c>
    </row>
    <row r="274" spans="1:15" x14ac:dyDescent="0.2">
      <c r="A274" s="1" t="s">
        <v>176</v>
      </c>
      <c r="B274" s="3">
        <v>45703</v>
      </c>
      <c r="C274" s="3">
        <v>45720</v>
      </c>
      <c r="D274" s="1" t="s">
        <v>33</v>
      </c>
      <c r="E274" s="1" t="str">
        <f>UPPER(TRIM(D274))</f>
        <v>POLICY UPDATE</v>
      </c>
      <c r="F274" s="1" t="s">
        <v>6</v>
      </c>
      <c r="G274" s="1" t="s">
        <v>16</v>
      </c>
      <c r="H274" s="1" t="str">
        <f>IF(OR(TRIM(G274)="Yes",TRIM(G274)="YES",TRIM(G274)="Y",TRIM(G274)="yes"),"Yes","No")</f>
        <v>No</v>
      </c>
      <c r="I274" s="1" t="s">
        <v>16</v>
      </c>
      <c r="J274" s="1" t="str">
        <f>IF(OR(TRIM(I274)="Yes",TRIM(I274)="YES",TRIM(I274)="Y",TRIM(I274)="yes"),"Yes","No")</f>
        <v>No</v>
      </c>
      <c r="K274" s="1" t="s">
        <v>15</v>
      </c>
      <c r="L274" s="1" t="str">
        <f>IF(C274="","Yes","No")</f>
        <v>No</v>
      </c>
      <c r="M274" s="1">
        <f>IF(C274="", "", C274 - B274)</f>
        <v>17</v>
      </c>
      <c r="N274" s="3">
        <f>DATE(YEAR(B274),MONTH(B274),1)</f>
        <v>45689</v>
      </c>
      <c r="O274" s="2">
        <f>DATE(YEAR(B274),MONTH(B274),1)</f>
        <v>45689</v>
      </c>
    </row>
    <row r="275" spans="1:15" x14ac:dyDescent="0.2">
      <c r="A275" s="1" t="s">
        <v>175</v>
      </c>
      <c r="B275" s="3">
        <v>45746</v>
      </c>
      <c r="C275" s="3">
        <v>45764</v>
      </c>
      <c r="D275" s="1" t="s">
        <v>19</v>
      </c>
      <c r="E275" s="1" t="str">
        <f>UPPER(TRIM(D275))</f>
        <v>DOC ERROR</v>
      </c>
      <c r="F275" s="1" t="s">
        <v>6</v>
      </c>
      <c r="H275" s="1" t="str">
        <f>IF(OR(TRIM(G275)="Yes",TRIM(G275)="YES",TRIM(G275)="Y",TRIM(G275)="yes"),"Yes","No")</f>
        <v>No</v>
      </c>
      <c r="I275" s="1" t="s">
        <v>0</v>
      </c>
      <c r="J275" s="1" t="str">
        <f>IF(OR(TRIM(I275)="Yes",TRIM(I275)="YES",TRIM(I275)="Y",TRIM(I275)="yes"),"Yes","No")</f>
        <v>Yes</v>
      </c>
      <c r="K275" s="1" t="s">
        <v>29</v>
      </c>
      <c r="L275" s="1" t="str">
        <f>IF(C275="","Yes","No")</f>
        <v>No</v>
      </c>
      <c r="M275" s="1">
        <f>IF(C275="", "", C275 - B275)</f>
        <v>18</v>
      </c>
      <c r="N275" s="3">
        <f>DATE(YEAR(B275),MONTH(B275),1)</f>
        <v>45717</v>
      </c>
      <c r="O275" s="2">
        <f>DATE(YEAR(B275),MONTH(B275),1)</f>
        <v>45717</v>
      </c>
    </row>
    <row r="276" spans="1:15" x14ac:dyDescent="0.2">
      <c r="A276" s="1" t="s">
        <v>172</v>
      </c>
      <c r="B276" s="3">
        <v>45760</v>
      </c>
      <c r="C276" s="3">
        <v>45766</v>
      </c>
      <c r="D276" s="1" t="s">
        <v>19</v>
      </c>
      <c r="E276" s="1" t="str">
        <f>UPPER(TRIM(D276))</f>
        <v>DOC ERROR</v>
      </c>
      <c r="F276" s="1" t="s">
        <v>18</v>
      </c>
      <c r="H276" s="1" t="str">
        <f>IF(OR(TRIM(G276)="Yes",TRIM(G276)="YES",TRIM(G276)="Y",TRIM(G276)="yes"),"Yes","No")</f>
        <v>No</v>
      </c>
      <c r="I276" s="1" t="s">
        <v>1</v>
      </c>
      <c r="J276" s="1" t="str">
        <f>IF(OR(TRIM(I276)="Yes",TRIM(I276)="YES",TRIM(I276)="Y",TRIM(I276)="yes"),"Yes","No")</f>
        <v>Yes</v>
      </c>
      <c r="K276" s="1" t="s">
        <v>15</v>
      </c>
      <c r="L276" s="1" t="str">
        <f>IF(C276="","Yes","No")</f>
        <v>No</v>
      </c>
      <c r="M276" s="1">
        <f>IF(C276="", "", C276 - B276)</f>
        <v>6</v>
      </c>
      <c r="N276" s="3">
        <f>DATE(YEAR(B276),MONTH(B276),1)</f>
        <v>45748</v>
      </c>
      <c r="O276" s="2">
        <f>DATE(YEAR(B276),MONTH(B276),1)</f>
        <v>45748</v>
      </c>
    </row>
    <row r="277" spans="1:15" x14ac:dyDescent="0.2">
      <c r="A277" s="1" t="s">
        <v>167</v>
      </c>
      <c r="B277" s="3">
        <v>45627</v>
      </c>
      <c r="C277" s="3">
        <v>45636</v>
      </c>
      <c r="D277" s="1" t="s">
        <v>19</v>
      </c>
      <c r="E277" s="1" t="str">
        <f>UPPER(TRIM(D277))</f>
        <v>DOC ERROR</v>
      </c>
      <c r="G277" s="1" t="s">
        <v>47</v>
      </c>
      <c r="H277" s="1" t="str">
        <f>IF(OR(TRIM(G277)="Yes",TRIM(G277)="YES",TRIM(G277)="Y",TRIM(G277)="yes"),"Yes","No")</f>
        <v>Yes</v>
      </c>
      <c r="I277" s="1" t="s">
        <v>9</v>
      </c>
      <c r="J277" s="1" t="str">
        <f>IF(OR(TRIM(I277)="Yes",TRIM(I277)="YES",TRIM(I277)="Y",TRIM(I277)="yes"),"Yes","No")</f>
        <v>No</v>
      </c>
      <c r="K277" s="1" t="s">
        <v>5</v>
      </c>
      <c r="L277" s="1" t="str">
        <f>IF(C277="","Yes","No")</f>
        <v>No</v>
      </c>
      <c r="M277" s="1">
        <f>IF(C277="", "", C277 - B277)</f>
        <v>9</v>
      </c>
      <c r="N277" s="3">
        <f>DATE(YEAR(B277),MONTH(B277),1)</f>
        <v>45627</v>
      </c>
      <c r="O277" s="2">
        <f>DATE(YEAR(B277),MONTH(B277),1)</f>
        <v>45627</v>
      </c>
    </row>
    <row r="278" spans="1:15" x14ac:dyDescent="0.2">
      <c r="A278" s="1" t="s">
        <v>113</v>
      </c>
      <c r="B278" s="3">
        <v>45608</v>
      </c>
      <c r="C278" s="3">
        <v>45621</v>
      </c>
      <c r="D278" s="1" t="s">
        <v>10</v>
      </c>
      <c r="E278" s="1" t="str">
        <f>UPPER(TRIM(D278))</f>
        <v>POLICY UPDATE</v>
      </c>
      <c r="F278" s="1" t="s">
        <v>21</v>
      </c>
      <c r="G278" s="1" t="s">
        <v>9</v>
      </c>
      <c r="H278" s="1" t="str">
        <f>IF(OR(TRIM(G278)="Yes",TRIM(G278)="YES",TRIM(G278)="Y",TRIM(G278)="yes"),"Yes","No")</f>
        <v>No</v>
      </c>
      <c r="I278" s="1" t="s">
        <v>9</v>
      </c>
      <c r="J278" s="1" t="str">
        <f>IF(OR(TRIM(I278)="Yes",TRIM(I278)="YES",TRIM(I278)="Y",TRIM(I278)="yes"),"Yes","No")</f>
        <v>No</v>
      </c>
      <c r="L278" s="1" t="str">
        <f>IF(C278="","Yes","No")</f>
        <v>No</v>
      </c>
      <c r="M278" s="1">
        <f>IF(C278="", "", C278 - B278)</f>
        <v>13</v>
      </c>
      <c r="N278" s="3">
        <f>DATE(YEAR(B278),MONTH(B278),1)</f>
        <v>45597</v>
      </c>
      <c r="O278" s="2">
        <f>DATE(YEAR(B278),MONTH(B278),1)</f>
        <v>45597</v>
      </c>
    </row>
    <row r="279" spans="1:15" x14ac:dyDescent="0.2">
      <c r="A279" s="1" t="s">
        <v>117</v>
      </c>
      <c r="B279" s="3">
        <v>45662</v>
      </c>
      <c r="C279" s="3">
        <v>45670</v>
      </c>
      <c r="D279" s="1" t="s">
        <v>10</v>
      </c>
      <c r="E279" s="1" t="str">
        <f>UPPER(TRIM(D279))</f>
        <v>POLICY UPDATE</v>
      </c>
      <c r="F279" s="1" t="s">
        <v>21</v>
      </c>
      <c r="G279" s="1" t="s">
        <v>16</v>
      </c>
      <c r="H279" s="1" t="str">
        <f>IF(OR(TRIM(G279)="Yes",TRIM(G279)="YES",TRIM(G279)="Y",TRIM(G279)="yes"),"Yes","No")</f>
        <v>No</v>
      </c>
      <c r="J279" s="1" t="str">
        <f>IF(OR(TRIM(I279)="Yes",TRIM(I279)="YES",TRIM(I279)="Y",TRIM(I279)="yes"),"Yes","No")</f>
        <v>No</v>
      </c>
      <c r="K279" s="1" t="s">
        <v>5</v>
      </c>
      <c r="L279" s="1" t="str">
        <f>IF(C279="","Yes","No")</f>
        <v>No</v>
      </c>
      <c r="M279" s="1">
        <f>IF(C279="", "", C279 - B279)</f>
        <v>8</v>
      </c>
      <c r="N279" s="3">
        <f>DATE(YEAR(B279),MONTH(B279),1)</f>
        <v>45658</v>
      </c>
      <c r="O279" s="2">
        <f>DATE(YEAR(B279),MONTH(B279),1)</f>
        <v>45658</v>
      </c>
    </row>
    <row r="280" spans="1:15" x14ac:dyDescent="0.2">
      <c r="A280" s="1" t="s">
        <v>174</v>
      </c>
      <c r="B280" s="3">
        <v>45596</v>
      </c>
      <c r="C280" s="3">
        <v>45605</v>
      </c>
      <c r="D280" s="1" t="s">
        <v>35</v>
      </c>
      <c r="E280" s="1" t="str">
        <f>UPPER(TRIM(D280))</f>
        <v>DOCUMENTATION ERROR</v>
      </c>
      <c r="F280" s="1" t="s">
        <v>6</v>
      </c>
      <c r="G280" s="1" t="s">
        <v>16</v>
      </c>
      <c r="H280" s="1" t="str">
        <f>IF(OR(TRIM(G280)="Yes",TRIM(G280)="YES",TRIM(G280)="Y",TRIM(G280)="yes"),"Yes","No")</f>
        <v>No</v>
      </c>
      <c r="I280" s="1" t="s">
        <v>1</v>
      </c>
      <c r="J280" s="1" t="str">
        <f>IF(OR(TRIM(I280)="Yes",TRIM(I280)="YES",TRIM(I280)="Y",TRIM(I280)="yes"),"Yes","No")</f>
        <v>Yes</v>
      </c>
      <c r="K280" s="1" t="s">
        <v>5</v>
      </c>
      <c r="L280" s="1" t="str">
        <f>IF(C280="","Yes","No")</f>
        <v>No</v>
      </c>
      <c r="M280" s="1">
        <f>IF(C280="", "", C280 - B280)</f>
        <v>9</v>
      </c>
      <c r="N280" s="3">
        <f>DATE(YEAR(B280),MONTH(B280),1)</f>
        <v>45566</v>
      </c>
      <c r="O280" s="2">
        <f>DATE(YEAR(B280),MONTH(B280),1)</f>
        <v>45566</v>
      </c>
    </row>
    <row r="281" spans="1:15" x14ac:dyDescent="0.2">
      <c r="A281" s="1" t="s">
        <v>173</v>
      </c>
      <c r="B281" s="3">
        <v>45716</v>
      </c>
      <c r="C281" s="3">
        <v>45732</v>
      </c>
      <c r="D281" s="1" t="s">
        <v>3</v>
      </c>
      <c r="E281" s="1" t="str">
        <f>UPPER(TRIM(D281))</f>
        <v>COMMUNICATION DELAY</v>
      </c>
      <c r="F281" s="1" t="s">
        <v>21</v>
      </c>
      <c r="G281" s="1" t="s">
        <v>9</v>
      </c>
      <c r="H281" s="1" t="str">
        <f>IF(OR(TRIM(G281)="Yes",TRIM(G281)="YES",TRIM(G281)="Y",TRIM(G281)="yes"),"Yes","No")</f>
        <v>No</v>
      </c>
      <c r="I281" s="1" t="s">
        <v>0</v>
      </c>
      <c r="J281" s="1" t="str">
        <f>IF(OR(TRIM(I281)="Yes",TRIM(I281)="YES",TRIM(I281)="Y",TRIM(I281)="yes"),"Yes","No")</f>
        <v>Yes</v>
      </c>
      <c r="K281" s="1" t="s">
        <v>29</v>
      </c>
      <c r="L281" s="1" t="str">
        <f>IF(C281="","Yes","No")</f>
        <v>No</v>
      </c>
      <c r="M281" s="1">
        <f>IF(C281="", "", C281 - B281)</f>
        <v>16</v>
      </c>
      <c r="N281" s="3">
        <f>DATE(YEAR(B281),MONTH(B281),1)</f>
        <v>45689</v>
      </c>
      <c r="O281" s="2">
        <f>DATE(YEAR(B281),MONTH(B281),1)</f>
        <v>45689</v>
      </c>
    </row>
    <row r="282" spans="1:15" x14ac:dyDescent="0.2">
      <c r="A282" s="1" t="s">
        <v>172</v>
      </c>
      <c r="B282" s="3">
        <v>45658</v>
      </c>
      <c r="C282" s="3">
        <v>45662</v>
      </c>
      <c r="D282" s="1" t="s">
        <v>27</v>
      </c>
      <c r="E282" s="1" t="str">
        <f>UPPER(TRIM(D282))</f>
        <v>SERVICE DELAY</v>
      </c>
      <c r="G282" s="1" t="s">
        <v>1</v>
      </c>
      <c r="H282" s="1" t="str">
        <f>IF(OR(TRIM(G282)="Yes",TRIM(G282)="YES",TRIM(G282)="Y",TRIM(G282)="yes"),"Yes","No")</f>
        <v>Yes</v>
      </c>
      <c r="I282" s="1" t="s">
        <v>16</v>
      </c>
      <c r="J282" s="1" t="str">
        <f>IF(OR(TRIM(I282)="Yes",TRIM(I282)="YES",TRIM(I282)="Y",TRIM(I282)="yes"),"Yes","No")</f>
        <v>No</v>
      </c>
      <c r="L282" s="1" t="str">
        <f>IF(C282="","Yes","No")</f>
        <v>No</v>
      </c>
      <c r="M282" s="1">
        <f>IF(C282="", "", C282 - B282)</f>
        <v>4</v>
      </c>
      <c r="N282" s="3">
        <f>DATE(YEAR(B282),MONTH(B282),1)</f>
        <v>45658</v>
      </c>
      <c r="O282" s="2">
        <f>DATE(YEAR(B282),MONTH(B282),1)</f>
        <v>45658</v>
      </c>
    </row>
    <row r="283" spans="1:15" x14ac:dyDescent="0.2">
      <c r="A283" s="1" t="s">
        <v>171</v>
      </c>
      <c r="B283" s="3">
        <v>45706</v>
      </c>
      <c r="C283" s="3">
        <v>45709</v>
      </c>
      <c r="D283" s="1" t="s">
        <v>27</v>
      </c>
      <c r="E283" s="1" t="str">
        <f>UPPER(TRIM(D283))</f>
        <v>SERVICE DELAY</v>
      </c>
      <c r="F283" s="1" t="s">
        <v>6</v>
      </c>
      <c r="G283" s="1" t="s">
        <v>12</v>
      </c>
      <c r="H283" s="1" t="str">
        <f>IF(OR(TRIM(G283)="Yes",TRIM(G283)="YES",TRIM(G283)="Y",TRIM(G283)="yes"),"Yes","No")</f>
        <v>No</v>
      </c>
      <c r="I283" s="1" t="s">
        <v>0</v>
      </c>
      <c r="J283" s="1" t="str">
        <f>IF(OR(TRIM(I283)="Yes",TRIM(I283)="YES",TRIM(I283)="Y",TRIM(I283)="yes"),"Yes","No")</f>
        <v>Yes</v>
      </c>
      <c r="K283" s="1" t="s">
        <v>15</v>
      </c>
      <c r="L283" s="1" t="str">
        <f>IF(C283="","Yes","No")</f>
        <v>No</v>
      </c>
      <c r="M283" s="1">
        <f>IF(C283="", "", C283 - B283)</f>
        <v>3</v>
      </c>
      <c r="N283" s="3">
        <f>DATE(YEAR(B283),MONTH(B283),1)</f>
        <v>45689</v>
      </c>
      <c r="O283" s="2">
        <f>DATE(YEAR(B283),MONTH(B283),1)</f>
        <v>45689</v>
      </c>
    </row>
    <row r="284" spans="1:15" x14ac:dyDescent="0.2">
      <c r="A284" s="1" t="s">
        <v>170</v>
      </c>
      <c r="B284" s="3">
        <v>45653</v>
      </c>
      <c r="C284" s="3">
        <v>45660</v>
      </c>
      <c r="D284" s="1" t="s">
        <v>44</v>
      </c>
      <c r="E284" s="1" t="str">
        <f>UPPER(TRIM(D284))</f>
        <v>COMMUNICATION DELAY</v>
      </c>
      <c r="F284" s="1" t="s">
        <v>21</v>
      </c>
      <c r="G284" s="1" t="s">
        <v>12</v>
      </c>
      <c r="H284" s="1" t="str">
        <f>IF(OR(TRIM(G284)="Yes",TRIM(G284)="YES",TRIM(G284)="Y",TRIM(G284)="yes"),"Yes","No")</f>
        <v>No</v>
      </c>
      <c r="I284" s="1" t="s">
        <v>9</v>
      </c>
      <c r="J284" s="1" t="str">
        <f>IF(OR(TRIM(I284)="Yes",TRIM(I284)="YES",TRIM(I284)="Y",TRIM(I284)="yes"),"Yes","No")</f>
        <v>No</v>
      </c>
      <c r="K284" s="1" t="s">
        <v>15</v>
      </c>
      <c r="L284" s="1" t="str">
        <f>IF(C284="","Yes","No")</f>
        <v>No</v>
      </c>
      <c r="M284" s="1">
        <f>IF(C284="", "", C284 - B284)</f>
        <v>7</v>
      </c>
      <c r="N284" s="3">
        <f>DATE(YEAR(B284),MONTH(B284),1)</f>
        <v>45627</v>
      </c>
      <c r="O284" s="2">
        <f>DATE(YEAR(B284),MONTH(B284),1)</f>
        <v>45627</v>
      </c>
    </row>
    <row r="285" spans="1:15" x14ac:dyDescent="0.2">
      <c r="A285" s="1" t="s">
        <v>23</v>
      </c>
      <c r="B285" s="3">
        <v>45752</v>
      </c>
      <c r="C285" s="3">
        <v>45754</v>
      </c>
      <c r="D285" s="1" t="s">
        <v>33</v>
      </c>
      <c r="E285" s="1" t="str">
        <f>UPPER(TRIM(D285))</f>
        <v>POLICY UPDATE</v>
      </c>
      <c r="F285" s="1" t="s">
        <v>6</v>
      </c>
      <c r="G285" s="1" t="s">
        <v>16</v>
      </c>
      <c r="H285" s="1" t="str">
        <f>IF(OR(TRIM(G285)="Yes",TRIM(G285)="YES",TRIM(G285)="Y",TRIM(G285)="yes"),"Yes","No")</f>
        <v>No</v>
      </c>
      <c r="J285" s="1" t="str">
        <f>IF(OR(TRIM(I285)="Yes",TRIM(I285)="YES",TRIM(I285)="Y",TRIM(I285)="yes"),"Yes","No")</f>
        <v>No</v>
      </c>
      <c r="L285" s="1" t="str">
        <f>IF(C285="","Yes","No")</f>
        <v>No</v>
      </c>
      <c r="M285" s="1">
        <f>IF(C285="", "", C285 - B285)</f>
        <v>2</v>
      </c>
      <c r="N285" s="3">
        <f>DATE(YEAR(B285),MONTH(B285),1)</f>
        <v>45748</v>
      </c>
      <c r="O285" s="2">
        <f>DATE(YEAR(B285),MONTH(B285),1)</f>
        <v>45748</v>
      </c>
    </row>
    <row r="286" spans="1:15" x14ac:dyDescent="0.2">
      <c r="A286" s="1" t="s">
        <v>169</v>
      </c>
      <c r="B286" s="3">
        <v>45694</v>
      </c>
      <c r="C286" s="3">
        <v>45708</v>
      </c>
      <c r="D286" s="1" t="s">
        <v>27</v>
      </c>
      <c r="E286" s="1" t="str">
        <f>UPPER(TRIM(D286))</f>
        <v>SERVICE DELAY</v>
      </c>
      <c r="F286" s="1" t="s">
        <v>21</v>
      </c>
      <c r="G286" s="1" t="s">
        <v>16</v>
      </c>
      <c r="H286" s="1" t="str">
        <f>IF(OR(TRIM(G286)="Yes",TRIM(G286)="YES",TRIM(G286)="Y",TRIM(G286)="yes"),"Yes","No")</f>
        <v>No</v>
      </c>
      <c r="J286" s="1" t="str">
        <f>IF(OR(TRIM(I286)="Yes",TRIM(I286)="YES",TRIM(I286)="Y",TRIM(I286)="yes"),"Yes","No")</f>
        <v>No</v>
      </c>
      <c r="L286" s="1" t="str">
        <f>IF(C286="","Yes","No")</f>
        <v>No</v>
      </c>
      <c r="M286" s="1">
        <f>IF(C286="", "", C286 - B286)</f>
        <v>14</v>
      </c>
      <c r="N286" s="3">
        <f>DATE(YEAR(B286),MONTH(B286),1)</f>
        <v>45689</v>
      </c>
      <c r="O286" s="2">
        <f>DATE(YEAR(B286),MONTH(B286),1)</f>
        <v>45689</v>
      </c>
    </row>
    <row r="287" spans="1:15" x14ac:dyDescent="0.2">
      <c r="A287" s="1" t="s">
        <v>122</v>
      </c>
      <c r="B287" s="3">
        <v>45577</v>
      </c>
      <c r="C287" s="3">
        <v>45587</v>
      </c>
      <c r="D287" s="1" t="s">
        <v>19</v>
      </c>
      <c r="E287" s="1" t="str">
        <f>UPPER(TRIM(D287))</f>
        <v>DOC ERROR</v>
      </c>
      <c r="G287" s="1" t="s">
        <v>16</v>
      </c>
      <c r="H287" s="1" t="str">
        <f>IF(OR(TRIM(G287)="Yes",TRIM(G287)="YES",TRIM(G287)="Y",TRIM(G287)="yes"),"Yes","No")</f>
        <v>No</v>
      </c>
      <c r="I287" s="1" t="s">
        <v>1</v>
      </c>
      <c r="J287" s="1" t="str">
        <f>IF(OR(TRIM(I287)="Yes",TRIM(I287)="YES",TRIM(I287)="Y",TRIM(I287)="yes"),"Yes","No")</f>
        <v>Yes</v>
      </c>
      <c r="K287" s="1" t="s">
        <v>5</v>
      </c>
      <c r="L287" s="1" t="str">
        <f>IF(C287="","Yes","No")</f>
        <v>No</v>
      </c>
      <c r="M287" s="1">
        <f>IF(C287="", "", C287 - B287)</f>
        <v>10</v>
      </c>
      <c r="N287" s="3">
        <f>DATE(YEAR(B287),MONTH(B287),1)</f>
        <v>45566</v>
      </c>
      <c r="O287" s="2">
        <f>DATE(YEAR(B287),MONTH(B287),1)</f>
        <v>45566</v>
      </c>
    </row>
    <row r="288" spans="1:15" x14ac:dyDescent="0.2">
      <c r="A288" s="1" t="s">
        <v>155</v>
      </c>
      <c r="B288" s="3">
        <v>45654</v>
      </c>
      <c r="C288" s="3">
        <v>45657</v>
      </c>
      <c r="D288" s="1" t="s">
        <v>24</v>
      </c>
      <c r="E288" s="1" t="str">
        <f>UPPER(TRIM(D288))</f>
        <v>BILLING ISSUE</v>
      </c>
      <c r="F288" s="1" t="s">
        <v>6</v>
      </c>
      <c r="G288" s="1" t="s">
        <v>1</v>
      </c>
      <c r="H288" s="1" t="str">
        <f>IF(OR(TRIM(G288)="Yes",TRIM(G288)="YES",TRIM(G288)="Y",TRIM(G288)="yes"),"Yes","No")</f>
        <v>Yes</v>
      </c>
      <c r="I288" s="1" t="s">
        <v>9</v>
      </c>
      <c r="J288" s="1" t="str">
        <f>IF(OR(TRIM(I288)="Yes",TRIM(I288)="YES",TRIM(I288)="Y",TRIM(I288)="yes"),"Yes","No")</f>
        <v>No</v>
      </c>
      <c r="K288" s="1" t="s">
        <v>29</v>
      </c>
      <c r="L288" s="1" t="str">
        <f>IF(C288="","Yes","No")</f>
        <v>No</v>
      </c>
      <c r="M288" s="1">
        <f>IF(C288="", "", C288 - B288)</f>
        <v>3</v>
      </c>
      <c r="N288" s="3">
        <f>DATE(YEAR(B288),MONTH(B288),1)</f>
        <v>45627</v>
      </c>
      <c r="O288" s="2">
        <f>DATE(YEAR(B288),MONTH(B288),1)</f>
        <v>45627</v>
      </c>
    </row>
    <row r="289" spans="1:15" x14ac:dyDescent="0.2">
      <c r="A289" s="1" t="s">
        <v>168</v>
      </c>
      <c r="B289" s="3">
        <v>45691</v>
      </c>
      <c r="D289" s="1" t="s">
        <v>24</v>
      </c>
      <c r="E289" s="1" t="str">
        <f>UPPER(TRIM(D289))</f>
        <v>BILLING ISSUE</v>
      </c>
      <c r="F289" s="1" t="s">
        <v>2</v>
      </c>
      <c r="G289" s="1" t="s">
        <v>1</v>
      </c>
      <c r="H289" s="1" t="str">
        <f>IF(OR(TRIM(G289)="Yes",TRIM(G289)="YES",TRIM(G289)="Y",TRIM(G289)="yes"),"Yes","No")</f>
        <v>Yes</v>
      </c>
      <c r="I289" s="1" t="s">
        <v>16</v>
      </c>
      <c r="J289" s="1" t="str">
        <f>IF(OR(TRIM(I289)="Yes",TRIM(I289)="YES",TRIM(I289)="Y",TRIM(I289)="yes"),"Yes","No")</f>
        <v>No</v>
      </c>
      <c r="L289" s="1" t="str">
        <f>IF(C289="","Yes","No")</f>
        <v>Yes</v>
      </c>
      <c r="M289" s="1" t="str">
        <f>IF(C289="", "", C289 - B289)</f>
        <v/>
      </c>
      <c r="N289" s="3">
        <f>DATE(YEAR(B289),MONTH(B289),1)</f>
        <v>45689</v>
      </c>
      <c r="O289" s="2">
        <f>DATE(YEAR(B289),MONTH(B289),1)</f>
        <v>45689</v>
      </c>
    </row>
    <row r="290" spans="1:15" x14ac:dyDescent="0.2">
      <c r="A290" s="1" t="s">
        <v>55</v>
      </c>
      <c r="B290" s="3">
        <v>45679</v>
      </c>
      <c r="C290" s="3">
        <v>45699</v>
      </c>
      <c r="D290" s="1" t="s">
        <v>7</v>
      </c>
      <c r="E290" s="1" t="str">
        <f>UPPER(TRIM(D290))</f>
        <v>BILLING ISSUE</v>
      </c>
      <c r="G290" s="1" t="s">
        <v>16</v>
      </c>
      <c r="H290" s="1" t="str">
        <f>IF(OR(TRIM(G290)="Yes",TRIM(G290)="YES",TRIM(G290)="Y",TRIM(G290)="yes"),"Yes","No")</f>
        <v>No</v>
      </c>
      <c r="I290" s="1" t="s">
        <v>1</v>
      </c>
      <c r="J290" s="1" t="str">
        <f>IF(OR(TRIM(I290)="Yes",TRIM(I290)="YES",TRIM(I290)="Y",TRIM(I290)="yes"),"Yes","No")</f>
        <v>Yes</v>
      </c>
      <c r="K290" s="1" t="s">
        <v>5</v>
      </c>
      <c r="L290" s="1" t="str">
        <f>IF(C290="","Yes","No")</f>
        <v>No</v>
      </c>
      <c r="M290" s="1">
        <f>IF(C290="", "", C290 - B290)</f>
        <v>20</v>
      </c>
      <c r="N290" s="3">
        <f>DATE(YEAR(B290),MONTH(B290),1)</f>
        <v>45658</v>
      </c>
      <c r="O290" s="2">
        <f>DATE(YEAR(B290),MONTH(B290),1)</f>
        <v>45658</v>
      </c>
    </row>
    <row r="291" spans="1:15" x14ac:dyDescent="0.2">
      <c r="A291" s="1" t="s">
        <v>66</v>
      </c>
      <c r="B291" s="3">
        <v>45682</v>
      </c>
      <c r="C291" s="3">
        <v>45700</v>
      </c>
      <c r="D291" s="1" t="s">
        <v>33</v>
      </c>
      <c r="E291" s="1" t="str">
        <f>UPPER(TRIM(D291))</f>
        <v>POLICY UPDATE</v>
      </c>
      <c r="F291" s="1" t="s">
        <v>6</v>
      </c>
      <c r="G291" s="1" t="s">
        <v>16</v>
      </c>
      <c r="H291" s="1" t="str">
        <f>IF(OR(TRIM(G291)="Yes",TRIM(G291)="YES",TRIM(G291)="Y",TRIM(G291)="yes"),"Yes","No")</f>
        <v>No</v>
      </c>
      <c r="J291" s="1" t="str">
        <f>IF(OR(TRIM(I291)="Yes",TRIM(I291)="YES",TRIM(I291)="Y",TRIM(I291)="yes"),"Yes","No")</f>
        <v>No</v>
      </c>
      <c r="K291" s="1" t="s">
        <v>5</v>
      </c>
      <c r="L291" s="1" t="str">
        <f>IF(C291="","Yes","No")</f>
        <v>No</v>
      </c>
      <c r="M291" s="1">
        <f>IF(C291="", "", C291 - B291)</f>
        <v>18</v>
      </c>
      <c r="N291" s="3">
        <f>DATE(YEAR(B291),MONTH(B291),1)</f>
        <v>45658</v>
      </c>
      <c r="O291" s="2">
        <f>DATE(YEAR(B291),MONTH(B291),1)</f>
        <v>45658</v>
      </c>
    </row>
    <row r="292" spans="1:15" x14ac:dyDescent="0.2">
      <c r="A292" s="1" t="s">
        <v>167</v>
      </c>
      <c r="B292" s="3">
        <v>45591</v>
      </c>
      <c r="C292" s="3">
        <v>45595</v>
      </c>
      <c r="D292" s="1" t="s">
        <v>33</v>
      </c>
      <c r="E292" s="1" t="str">
        <f>UPPER(TRIM(D292))</f>
        <v>POLICY UPDATE</v>
      </c>
      <c r="F292" s="1" t="s">
        <v>18</v>
      </c>
      <c r="G292" s="1" t="s">
        <v>9</v>
      </c>
      <c r="H292" s="1" t="str">
        <f>IF(OR(TRIM(G292)="Yes",TRIM(G292)="YES",TRIM(G292)="Y",TRIM(G292)="yes"),"Yes","No")</f>
        <v>No</v>
      </c>
      <c r="I292" s="1" t="s">
        <v>16</v>
      </c>
      <c r="J292" s="1" t="str">
        <f>IF(OR(TRIM(I292)="Yes",TRIM(I292)="YES",TRIM(I292)="Y",TRIM(I292)="yes"),"Yes","No")</f>
        <v>No</v>
      </c>
      <c r="L292" s="1" t="str">
        <f>IF(C292="","Yes","No")</f>
        <v>No</v>
      </c>
      <c r="M292" s="1">
        <f>IF(C292="", "", C292 - B292)</f>
        <v>4</v>
      </c>
      <c r="N292" s="3">
        <f>DATE(YEAR(B292),MONTH(B292),1)</f>
        <v>45566</v>
      </c>
      <c r="O292" s="2">
        <f>DATE(YEAR(B292),MONTH(B292),1)</f>
        <v>45566</v>
      </c>
    </row>
    <row r="293" spans="1:15" x14ac:dyDescent="0.2">
      <c r="A293" s="1" t="s">
        <v>166</v>
      </c>
      <c r="B293" s="3">
        <v>45621</v>
      </c>
      <c r="C293" s="3">
        <v>45627</v>
      </c>
      <c r="D293" s="1" t="s">
        <v>24</v>
      </c>
      <c r="E293" s="1" t="str">
        <f>UPPER(TRIM(D293))</f>
        <v>BILLING ISSUE</v>
      </c>
      <c r="F293" s="1" t="s">
        <v>18</v>
      </c>
      <c r="G293" s="1" t="s">
        <v>1</v>
      </c>
      <c r="H293" s="1" t="str">
        <f>IF(OR(TRIM(G293)="Yes",TRIM(G293)="YES",TRIM(G293)="Y",TRIM(G293)="yes"),"Yes","No")</f>
        <v>Yes</v>
      </c>
      <c r="J293" s="1" t="str">
        <f>IF(OR(TRIM(I293)="Yes",TRIM(I293)="YES",TRIM(I293)="Y",TRIM(I293)="yes"),"Yes","No")</f>
        <v>No</v>
      </c>
      <c r="K293" s="1" t="s">
        <v>15</v>
      </c>
      <c r="L293" s="1" t="str">
        <f>IF(C293="","Yes","No")</f>
        <v>No</v>
      </c>
      <c r="M293" s="1">
        <f>IF(C293="", "", C293 - B293)</f>
        <v>6</v>
      </c>
      <c r="N293" s="3">
        <f>DATE(YEAR(B293),MONTH(B293),1)</f>
        <v>45597</v>
      </c>
      <c r="O293" s="2">
        <f>DATE(YEAR(B293),MONTH(B293),1)</f>
        <v>45597</v>
      </c>
    </row>
    <row r="294" spans="1:15" x14ac:dyDescent="0.2">
      <c r="A294" s="1" t="s">
        <v>158</v>
      </c>
      <c r="B294" s="3">
        <v>45706</v>
      </c>
      <c r="D294" s="1" t="s">
        <v>27</v>
      </c>
      <c r="E294" s="1" t="str">
        <f>UPPER(TRIM(D294))</f>
        <v>SERVICE DELAY</v>
      </c>
      <c r="G294" s="1" t="s">
        <v>47</v>
      </c>
      <c r="H294" s="1" t="str">
        <f>IF(OR(TRIM(G294)="Yes",TRIM(G294)="YES",TRIM(G294)="Y",TRIM(G294)="yes"),"Yes","No")</f>
        <v>Yes</v>
      </c>
      <c r="I294" s="1" t="s">
        <v>16</v>
      </c>
      <c r="J294" s="1" t="str">
        <f>IF(OR(TRIM(I294)="Yes",TRIM(I294)="YES",TRIM(I294)="Y",TRIM(I294)="yes"),"Yes","No")</f>
        <v>No</v>
      </c>
      <c r="K294" s="1" t="s">
        <v>5</v>
      </c>
      <c r="L294" s="1" t="str">
        <f>IF(C294="","Yes","No")</f>
        <v>Yes</v>
      </c>
      <c r="M294" s="1" t="str">
        <f>IF(C294="", "", C294 - B294)</f>
        <v/>
      </c>
      <c r="N294" s="3">
        <f>DATE(YEAR(B294),MONTH(B294),1)</f>
        <v>45689</v>
      </c>
      <c r="O294" s="2">
        <f>DATE(YEAR(B294),MONTH(B294),1)</f>
        <v>45689</v>
      </c>
    </row>
    <row r="295" spans="1:15" x14ac:dyDescent="0.2">
      <c r="A295" s="1" t="s">
        <v>95</v>
      </c>
      <c r="B295" s="3">
        <v>45764</v>
      </c>
      <c r="C295" s="3">
        <v>45775</v>
      </c>
      <c r="D295" s="1" t="s">
        <v>44</v>
      </c>
      <c r="E295" s="1" t="str">
        <f>UPPER(TRIM(D295))</f>
        <v>COMMUNICATION DELAY</v>
      </c>
      <c r="G295" s="1" t="s">
        <v>0</v>
      </c>
      <c r="H295" s="1" t="str">
        <f>IF(OR(TRIM(G295)="Yes",TRIM(G295)="YES",TRIM(G295)="Y",TRIM(G295)="yes"),"Yes","No")</f>
        <v>Yes</v>
      </c>
      <c r="J295" s="1" t="str">
        <f>IF(OR(TRIM(I295)="Yes",TRIM(I295)="YES",TRIM(I295)="Y",TRIM(I295)="yes"),"Yes","No")</f>
        <v>No</v>
      </c>
      <c r="L295" s="1" t="str">
        <f>IF(C295="","Yes","No")</f>
        <v>No</v>
      </c>
      <c r="M295" s="1">
        <f>IF(C295="", "", C295 - B295)</f>
        <v>11</v>
      </c>
      <c r="N295" s="3">
        <f>DATE(YEAR(B295),MONTH(B295),1)</f>
        <v>45748</v>
      </c>
      <c r="O295" s="2">
        <f>DATE(YEAR(B295),MONTH(B295),1)</f>
        <v>45748</v>
      </c>
    </row>
    <row r="296" spans="1:15" x14ac:dyDescent="0.2">
      <c r="A296" s="1" t="s">
        <v>107</v>
      </c>
      <c r="B296" s="3">
        <v>45637</v>
      </c>
      <c r="C296" s="3">
        <v>45642</v>
      </c>
      <c r="D296" s="1" t="s">
        <v>27</v>
      </c>
      <c r="E296" s="1" t="str">
        <f>UPPER(TRIM(D296))</f>
        <v>SERVICE DELAY</v>
      </c>
      <c r="F296" s="1" t="s">
        <v>21</v>
      </c>
      <c r="G296" s="1" t="s">
        <v>16</v>
      </c>
      <c r="H296" s="1" t="str">
        <f>IF(OR(TRIM(G296)="Yes",TRIM(G296)="YES",TRIM(G296)="Y",TRIM(G296)="yes"),"Yes","No")</f>
        <v>No</v>
      </c>
      <c r="I296" s="1" t="s">
        <v>0</v>
      </c>
      <c r="J296" s="1" t="str">
        <f>IF(OR(TRIM(I296)="Yes",TRIM(I296)="YES",TRIM(I296)="Y",TRIM(I296)="yes"),"Yes","No")</f>
        <v>Yes</v>
      </c>
      <c r="L296" s="1" t="str">
        <f>IF(C296="","Yes","No")</f>
        <v>No</v>
      </c>
      <c r="M296" s="1">
        <f>IF(C296="", "", C296 - B296)</f>
        <v>5</v>
      </c>
      <c r="N296" s="3">
        <f>DATE(YEAR(B296),MONTH(B296),1)</f>
        <v>45627</v>
      </c>
      <c r="O296" s="2">
        <f>DATE(YEAR(B296),MONTH(B296),1)</f>
        <v>45627</v>
      </c>
    </row>
    <row r="297" spans="1:15" x14ac:dyDescent="0.2">
      <c r="A297" s="1" t="s">
        <v>165</v>
      </c>
      <c r="B297" s="3">
        <v>45753</v>
      </c>
      <c r="D297" s="1" t="s">
        <v>44</v>
      </c>
      <c r="E297" s="1" t="str">
        <f>UPPER(TRIM(D297))</f>
        <v>COMMUNICATION DELAY</v>
      </c>
      <c r="G297" s="1" t="s">
        <v>9</v>
      </c>
      <c r="H297" s="1" t="str">
        <f>IF(OR(TRIM(G297)="Yes",TRIM(G297)="YES",TRIM(G297)="Y",TRIM(G297)="yes"),"Yes","No")</f>
        <v>No</v>
      </c>
      <c r="I297" s="1" t="s">
        <v>0</v>
      </c>
      <c r="J297" s="1" t="str">
        <f>IF(OR(TRIM(I297)="Yes",TRIM(I297)="YES",TRIM(I297)="Y",TRIM(I297)="yes"),"Yes","No")</f>
        <v>Yes</v>
      </c>
      <c r="K297" s="1" t="s">
        <v>15</v>
      </c>
      <c r="L297" s="1" t="str">
        <f>IF(C297="","Yes","No")</f>
        <v>Yes</v>
      </c>
      <c r="M297" s="1" t="str">
        <f>IF(C297="", "", C297 - B297)</f>
        <v/>
      </c>
      <c r="N297" s="3">
        <f>DATE(YEAR(B297),MONTH(B297),1)</f>
        <v>45748</v>
      </c>
      <c r="O297" s="2">
        <f>DATE(YEAR(B297),MONTH(B297),1)</f>
        <v>45748</v>
      </c>
    </row>
    <row r="298" spans="1:15" x14ac:dyDescent="0.2">
      <c r="A298" s="1" t="s">
        <v>43</v>
      </c>
      <c r="B298" s="3">
        <v>45686</v>
      </c>
      <c r="C298" s="3">
        <v>45690</v>
      </c>
      <c r="D298" s="1" t="s">
        <v>27</v>
      </c>
      <c r="E298" s="1" t="str">
        <f>UPPER(TRIM(D298))</f>
        <v>SERVICE DELAY</v>
      </c>
      <c r="F298" s="1" t="s">
        <v>2</v>
      </c>
      <c r="G298" s="1" t="s">
        <v>47</v>
      </c>
      <c r="H298" s="1" t="str">
        <f>IF(OR(TRIM(G298)="Yes",TRIM(G298)="YES",TRIM(G298)="Y",TRIM(G298)="yes"),"Yes","No")</f>
        <v>Yes</v>
      </c>
      <c r="J298" s="1" t="str">
        <f>IF(OR(TRIM(I298)="Yes",TRIM(I298)="YES",TRIM(I298)="Y",TRIM(I298)="yes"),"Yes","No")</f>
        <v>No</v>
      </c>
      <c r="L298" s="1" t="str">
        <f>IF(C298="","Yes","No")</f>
        <v>No</v>
      </c>
      <c r="M298" s="1">
        <f>IF(C298="", "", C298 - B298)</f>
        <v>4</v>
      </c>
      <c r="N298" s="3">
        <f>DATE(YEAR(B298),MONTH(B298),1)</f>
        <v>45658</v>
      </c>
      <c r="O298" s="2">
        <f>DATE(YEAR(B298),MONTH(B298),1)</f>
        <v>45658</v>
      </c>
    </row>
    <row r="299" spans="1:15" x14ac:dyDescent="0.2">
      <c r="A299" s="1" t="s">
        <v>51</v>
      </c>
      <c r="B299" s="3">
        <v>45719</v>
      </c>
      <c r="C299" s="3">
        <v>45723</v>
      </c>
      <c r="D299" s="1" t="s">
        <v>10</v>
      </c>
      <c r="E299" s="1" t="str">
        <f>UPPER(TRIM(D299))</f>
        <v>POLICY UPDATE</v>
      </c>
      <c r="F299" s="1" t="s">
        <v>6</v>
      </c>
      <c r="G299" s="1" t="s">
        <v>0</v>
      </c>
      <c r="H299" s="1" t="str">
        <f>IF(OR(TRIM(G299)="Yes",TRIM(G299)="YES",TRIM(G299)="Y",TRIM(G299)="yes"),"Yes","No")</f>
        <v>Yes</v>
      </c>
      <c r="I299" s="1" t="s">
        <v>16</v>
      </c>
      <c r="J299" s="1" t="str">
        <f>IF(OR(TRIM(I299)="Yes",TRIM(I299)="YES",TRIM(I299)="Y",TRIM(I299)="yes"),"Yes","No")</f>
        <v>No</v>
      </c>
      <c r="K299" s="1" t="s">
        <v>15</v>
      </c>
      <c r="L299" s="1" t="str">
        <f>IF(C299="","Yes","No")</f>
        <v>No</v>
      </c>
      <c r="M299" s="1">
        <f>IF(C299="", "", C299 - B299)</f>
        <v>4</v>
      </c>
      <c r="N299" s="3">
        <f>DATE(YEAR(B299),MONTH(B299),1)</f>
        <v>45717</v>
      </c>
      <c r="O299" s="2">
        <f>DATE(YEAR(B299),MONTH(B299),1)</f>
        <v>45717</v>
      </c>
    </row>
    <row r="300" spans="1:15" x14ac:dyDescent="0.2">
      <c r="A300" s="1" t="s">
        <v>164</v>
      </c>
      <c r="B300" s="3">
        <v>45566</v>
      </c>
      <c r="C300" s="3">
        <v>45573</v>
      </c>
      <c r="D300" s="1" t="s">
        <v>3</v>
      </c>
      <c r="E300" s="1" t="str">
        <f>UPPER(TRIM(D300))</f>
        <v>COMMUNICATION DELAY</v>
      </c>
      <c r="G300" s="1" t="s">
        <v>9</v>
      </c>
      <c r="H300" s="1" t="str">
        <f>IF(OR(TRIM(G300)="Yes",TRIM(G300)="YES",TRIM(G300)="Y",TRIM(G300)="yes"),"Yes","No")</f>
        <v>No</v>
      </c>
      <c r="J300" s="1" t="str">
        <f>IF(OR(TRIM(I300)="Yes",TRIM(I300)="YES",TRIM(I300)="Y",TRIM(I300)="yes"),"Yes","No")</f>
        <v>No</v>
      </c>
      <c r="K300" s="1" t="s">
        <v>5</v>
      </c>
      <c r="L300" s="1" t="str">
        <f>IF(C300="","Yes","No")</f>
        <v>No</v>
      </c>
      <c r="M300" s="1">
        <f>IF(C300="", "", C300 - B300)</f>
        <v>7</v>
      </c>
      <c r="N300" s="3">
        <f>DATE(YEAR(B300),MONTH(B300),1)</f>
        <v>45566</v>
      </c>
      <c r="O300" s="2">
        <f>DATE(YEAR(B300),MONTH(B300),1)</f>
        <v>45566</v>
      </c>
    </row>
    <row r="301" spans="1:15" x14ac:dyDescent="0.2">
      <c r="A301" s="1" t="s">
        <v>140</v>
      </c>
      <c r="B301" s="3">
        <v>45642</v>
      </c>
      <c r="C301" s="3">
        <v>45650</v>
      </c>
      <c r="D301" s="1" t="s">
        <v>33</v>
      </c>
      <c r="E301" s="1" t="str">
        <f>UPPER(TRIM(D301))</f>
        <v>POLICY UPDATE</v>
      </c>
      <c r="F301" s="1" t="s">
        <v>2</v>
      </c>
      <c r="G301" s="1" t="s">
        <v>47</v>
      </c>
      <c r="H301" s="1" t="str">
        <f>IF(OR(TRIM(G301)="Yes",TRIM(G301)="YES",TRIM(G301)="Y",TRIM(G301)="yes"),"Yes","No")</f>
        <v>Yes</v>
      </c>
      <c r="J301" s="1" t="str">
        <f>IF(OR(TRIM(I301)="Yes",TRIM(I301)="YES",TRIM(I301)="Y",TRIM(I301)="yes"),"Yes","No")</f>
        <v>No</v>
      </c>
      <c r="L301" s="1" t="str">
        <f>IF(C301="","Yes","No")</f>
        <v>No</v>
      </c>
      <c r="M301" s="1">
        <f>IF(C301="", "", C301 - B301)</f>
        <v>8</v>
      </c>
      <c r="N301" s="3">
        <f>DATE(YEAR(B301),MONTH(B301),1)</f>
        <v>45627</v>
      </c>
      <c r="O301" s="2">
        <f>DATE(YEAR(B301),MONTH(B301),1)</f>
        <v>45627</v>
      </c>
    </row>
    <row r="302" spans="1:15" x14ac:dyDescent="0.2">
      <c r="A302" s="1" t="s">
        <v>163</v>
      </c>
      <c r="B302" s="3">
        <v>45663</v>
      </c>
      <c r="C302" s="3">
        <v>45669</v>
      </c>
      <c r="D302" s="1" t="s">
        <v>24</v>
      </c>
      <c r="E302" s="1" t="str">
        <f>UPPER(TRIM(D302))</f>
        <v>BILLING ISSUE</v>
      </c>
      <c r="H302" s="1" t="str">
        <f>IF(OR(TRIM(G302)="Yes",TRIM(G302)="YES",TRIM(G302)="Y",TRIM(G302)="yes"),"Yes","No")</f>
        <v>No</v>
      </c>
      <c r="J302" s="1" t="str">
        <f>IF(OR(TRIM(I302)="Yes",TRIM(I302)="YES",TRIM(I302)="Y",TRIM(I302)="yes"),"Yes","No")</f>
        <v>No</v>
      </c>
      <c r="K302" s="1" t="s">
        <v>15</v>
      </c>
      <c r="L302" s="1" t="str">
        <f>IF(C302="","Yes","No")</f>
        <v>No</v>
      </c>
      <c r="M302" s="1">
        <f>IF(C302="", "", C302 - B302)</f>
        <v>6</v>
      </c>
      <c r="N302" s="3">
        <f>DATE(YEAR(B302),MONTH(B302),1)</f>
        <v>45658</v>
      </c>
      <c r="O302" s="2">
        <f>DATE(YEAR(B302),MONTH(B302),1)</f>
        <v>45658</v>
      </c>
    </row>
    <row r="303" spans="1:15" x14ac:dyDescent="0.2">
      <c r="A303" s="1" t="s">
        <v>129</v>
      </c>
      <c r="B303" s="3">
        <v>45601</v>
      </c>
      <c r="C303" s="3">
        <v>45603</v>
      </c>
      <c r="D303" s="1" t="s">
        <v>19</v>
      </c>
      <c r="E303" s="1" t="str">
        <f>UPPER(TRIM(D303))</f>
        <v>DOC ERROR</v>
      </c>
      <c r="F303" s="1" t="s">
        <v>21</v>
      </c>
      <c r="G303" s="1" t="s">
        <v>1</v>
      </c>
      <c r="H303" s="1" t="str">
        <f>IF(OR(TRIM(G303)="Yes",TRIM(G303)="YES",TRIM(G303)="Y",TRIM(G303)="yes"),"Yes","No")</f>
        <v>Yes</v>
      </c>
      <c r="I303" s="1" t="s">
        <v>16</v>
      </c>
      <c r="J303" s="1" t="str">
        <f>IF(OR(TRIM(I303)="Yes",TRIM(I303)="YES",TRIM(I303)="Y",TRIM(I303)="yes"),"Yes","No")</f>
        <v>No</v>
      </c>
      <c r="K303" s="1" t="s">
        <v>5</v>
      </c>
      <c r="L303" s="1" t="str">
        <f>IF(C303="","Yes","No")</f>
        <v>No</v>
      </c>
      <c r="M303" s="1">
        <f>IF(C303="", "", C303 - B303)</f>
        <v>2</v>
      </c>
      <c r="N303" s="3">
        <f>DATE(YEAR(B303),MONTH(B303),1)</f>
        <v>45597</v>
      </c>
      <c r="O303" s="2">
        <f>DATE(YEAR(B303),MONTH(B303),1)</f>
        <v>45597</v>
      </c>
    </row>
    <row r="304" spans="1:15" x14ac:dyDescent="0.2">
      <c r="A304" s="1" t="s">
        <v>46</v>
      </c>
      <c r="B304" s="3">
        <v>45651</v>
      </c>
      <c r="D304" s="1" t="s">
        <v>27</v>
      </c>
      <c r="E304" s="1" t="str">
        <f>UPPER(TRIM(D304))</f>
        <v>SERVICE DELAY</v>
      </c>
      <c r="H304" s="1" t="str">
        <f>IF(OR(TRIM(G304)="Yes",TRIM(G304)="YES",TRIM(G304)="Y",TRIM(G304)="yes"),"Yes","No")</f>
        <v>No</v>
      </c>
      <c r="I304" s="1" t="s">
        <v>0</v>
      </c>
      <c r="J304" s="1" t="str">
        <f>IF(OR(TRIM(I304)="Yes",TRIM(I304)="YES",TRIM(I304)="Y",TRIM(I304)="yes"),"Yes","No")</f>
        <v>Yes</v>
      </c>
      <c r="K304" s="1" t="s">
        <v>15</v>
      </c>
      <c r="L304" s="1" t="str">
        <f>IF(C304="","Yes","No")</f>
        <v>Yes</v>
      </c>
      <c r="M304" s="1" t="str">
        <f>IF(C304="", "", C304 - B304)</f>
        <v/>
      </c>
      <c r="N304" s="3">
        <f>DATE(YEAR(B304),MONTH(B304),1)</f>
        <v>45627</v>
      </c>
      <c r="O304" s="2">
        <f>DATE(YEAR(B304),MONTH(B304),1)</f>
        <v>45627</v>
      </c>
    </row>
    <row r="305" spans="1:15" x14ac:dyDescent="0.2">
      <c r="A305" s="1" t="s">
        <v>50</v>
      </c>
      <c r="B305" s="3">
        <v>45751</v>
      </c>
      <c r="C305" s="3">
        <v>45769</v>
      </c>
      <c r="D305" s="1" t="s">
        <v>35</v>
      </c>
      <c r="E305" s="1" t="str">
        <f>UPPER(TRIM(D305))</f>
        <v>DOCUMENTATION ERROR</v>
      </c>
      <c r="H305" s="1" t="str">
        <f>IF(OR(TRIM(G305)="Yes",TRIM(G305)="YES",TRIM(G305)="Y",TRIM(G305)="yes"),"Yes","No")</f>
        <v>No</v>
      </c>
      <c r="J305" s="1" t="str">
        <f>IF(OR(TRIM(I305)="Yes",TRIM(I305)="YES",TRIM(I305)="Y",TRIM(I305)="yes"),"Yes","No")</f>
        <v>No</v>
      </c>
      <c r="K305" s="1" t="s">
        <v>15</v>
      </c>
      <c r="L305" s="1" t="str">
        <f>IF(C305="","Yes","No")</f>
        <v>No</v>
      </c>
      <c r="M305" s="1">
        <f>IF(C305="", "", C305 - B305)</f>
        <v>18</v>
      </c>
      <c r="N305" s="3">
        <f>DATE(YEAR(B305),MONTH(B305),1)</f>
        <v>45748</v>
      </c>
      <c r="O305" s="2">
        <f>DATE(YEAR(B305),MONTH(B305),1)</f>
        <v>45748</v>
      </c>
    </row>
    <row r="306" spans="1:15" x14ac:dyDescent="0.2">
      <c r="A306" s="1" t="s">
        <v>108</v>
      </c>
      <c r="B306" s="3">
        <v>45688</v>
      </c>
      <c r="C306" s="3">
        <v>45700</v>
      </c>
      <c r="D306" s="1" t="s">
        <v>19</v>
      </c>
      <c r="E306" s="1" t="str">
        <f>UPPER(TRIM(D306))</f>
        <v>DOC ERROR</v>
      </c>
      <c r="G306" s="1" t="s">
        <v>12</v>
      </c>
      <c r="H306" s="1" t="str">
        <f>IF(OR(TRIM(G306)="Yes",TRIM(G306)="YES",TRIM(G306)="Y",TRIM(G306)="yes"),"Yes","No")</f>
        <v>No</v>
      </c>
      <c r="J306" s="1" t="str">
        <f>IF(OR(TRIM(I306)="Yes",TRIM(I306)="YES",TRIM(I306)="Y",TRIM(I306)="yes"),"Yes","No")</f>
        <v>No</v>
      </c>
      <c r="L306" s="1" t="str">
        <f>IF(C306="","Yes","No")</f>
        <v>No</v>
      </c>
      <c r="M306" s="1">
        <f>IF(C306="", "", C306 - B306)</f>
        <v>12</v>
      </c>
      <c r="N306" s="3">
        <f>DATE(YEAR(B306),MONTH(B306),1)</f>
        <v>45658</v>
      </c>
      <c r="O306" s="2">
        <f>DATE(YEAR(B306),MONTH(B306),1)</f>
        <v>45658</v>
      </c>
    </row>
    <row r="307" spans="1:15" x14ac:dyDescent="0.2">
      <c r="A307" s="1" t="s">
        <v>137</v>
      </c>
      <c r="B307" s="3">
        <v>45676</v>
      </c>
      <c r="C307" s="3">
        <v>45690</v>
      </c>
      <c r="D307" s="1" t="s">
        <v>19</v>
      </c>
      <c r="E307" s="1" t="str">
        <f>UPPER(TRIM(D307))</f>
        <v>DOC ERROR</v>
      </c>
      <c r="F307" s="1" t="s">
        <v>6</v>
      </c>
      <c r="G307" s="1" t="s">
        <v>12</v>
      </c>
      <c r="H307" s="1" t="str">
        <f>IF(OR(TRIM(G307)="Yes",TRIM(G307)="YES",TRIM(G307)="Y",TRIM(G307)="yes"),"Yes","No")</f>
        <v>No</v>
      </c>
      <c r="I307" s="1" t="s">
        <v>0</v>
      </c>
      <c r="J307" s="1" t="str">
        <f>IF(OR(TRIM(I307)="Yes",TRIM(I307)="YES",TRIM(I307)="Y",TRIM(I307)="yes"),"Yes","No")</f>
        <v>Yes</v>
      </c>
      <c r="L307" s="1" t="str">
        <f>IF(C307="","Yes","No")</f>
        <v>No</v>
      </c>
      <c r="M307" s="1">
        <f>IF(C307="", "", C307 - B307)</f>
        <v>14</v>
      </c>
      <c r="N307" s="3">
        <f>DATE(YEAR(B307),MONTH(B307),1)</f>
        <v>45658</v>
      </c>
      <c r="O307" s="2">
        <f>DATE(YEAR(B307),MONTH(B307),1)</f>
        <v>45658</v>
      </c>
    </row>
    <row r="308" spans="1:15" x14ac:dyDescent="0.2">
      <c r="A308" s="1" t="s">
        <v>162</v>
      </c>
      <c r="B308" s="3">
        <v>45653</v>
      </c>
      <c r="C308" s="3">
        <v>45659</v>
      </c>
      <c r="D308" s="1" t="s">
        <v>19</v>
      </c>
      <c r="E308" s="1" t="str">
        <f>UPPER(TRIM(D308))</f>
        <v>DOC ERROR</v>
      </c>
      <c r="F308" s="1" t="s">
        <v>6</v>
      </c>
      <c r="G308" s="1" t="s">
        <v>47</v>
      </c>
      <c r="H308" s="1" t="str">
        <f>IF(OR(TRIM(G308)="Yes",TRIM(G308)="YES",TRIM(G308)="Y",TRIM(G308)="yes"),"Yes","No")</f>
        <v>Yes</v>
      </c>
      <c r="I308" s="1" t="s">
        <v>0</v>
      </c>
      <c r="J308" s="1" t="str">
        <f>IF(OR(TRIM(I308)="Yes",TRIM(I308)="YES",TRIM(I308)="Y",TRIM(I308)="yes"),"Yes","No")</f>
        <v>Yes</v>
      </c>
      <c r="K308" s="1" t="s">
        <v>5</v>
      </c>
      <c r="L308" s="1" t="str">
        <f>IF(C308="","Yes","No")</f>
        <v>No</v>
      </c>
      <c r="M308" s="1">
        <f>IF(C308="", "", C308 - B308)</f>
        <v>6</v>
      </c>
      <c r="N308" s="3">
        <f>DATE(YEAR(B308),MONTH(B308),1)</f>
        <v>45627</v>
      </c>
      <c r="O308" s="2">
        <f>DATE(YEAR(B308),MONTH(B308),1)</f>
        <v>45627</v>
      </c>
    </row>
    <row r="309" spans="1:15" x14ac:dyDescent="0.2">
      <c r="A309" s="1" t="s">
        <v>161</v>
      </c>
      <c r="B309" s="3">
        <v>45765</v>
      </c>
      <c r="C309" s="3">
        <v>45768</v>
      </c>
      <c r="D309" s="1" t="s">
        <v>27</v>
      </c>
      <c r="E309" s="1" t="str">
        <f>UPPER(TRIM(D309))</f>
        <v>SERVICE DELAY</v>
      </c>
      <c r="F309" s="1" t="s">
        <v>2</v>
      </c>
      <c r="G309" s="1" t="s">
        <v>0</v>
      </c>
      <c r="H309" s="1" t="str">
        <f>IF(OR(TRIM(G309)="Yes",TRIM(G309)="YES",TRIM(G309)="Y",TRIM(G309)="yes"),"Yes","No")</f>
        <v>Yes</v>
      </c>
      <c r="I309" s="1" t="s">
        <v>0</v>
      </c>
      <c r="J309" s="1" t="str">
        <f>IF(OR(TRIM(I309)="Yes",TRIM(I309)="YES",TRIM(I309)="Y",TRIM(I309)="yes"),"Yes","No")</f>
        <v>Yes</v>
      </c>
      <c r="L309" s="1" t="str">
        <f>IF(C309="","Yes","No")</f>
        <v>No</v>
      </c>
      <c r="M309" s="1">
        <f>IF(C309="", "", C309 - B309)</f>
        <v>3</v>
      </c>
      <c r="N309" s="3">
        <f>DATE(YEAR(B309),MONTH(B309),1)</f>
        <v>45748</v>
      </c>
      <c r="O309" s="2">
        <f>DATE(YEAR(B309),MONTH(B309),1)</f>
        <v>45748</v>
      </c>
    </row>
    <row r="310" spans="1:15" x14ac:dyDescent="0.2">
      <c r="A310" s="1" t="s">
        <v>149</v>
      </c>
      <c r="B310" s="3">
        <v>45622</v>
      </c>
      <c r="C310" s="3">
        <v>45641</v>
      </c>
      <c r="D310" s="1" t="s">
        <v>33</v>
      </c>
      <c r="E310" s="1" t="str">
        <f>UPPER(TRIM(D310))</f>
        <v>POLICY UPDATE</v>
      </c>
      <c r="H310" s="1" t="str">
        <f>IF(OR(TRIM(G310)="Yes",TRIM(G310)="YES",TRIM(G310)="Y",TRIM(G310)="yes"),"Yes","No")</f>
        <v>No</v>
      </c>
      <c r="I310" s="1" t="s">
        <v>16</v>
      </c>
      <c r="J310" s="1" t="str">
        <f>IF(OR(TRIM(I310)="Yes",TRIM(I310)="YES",TRIM(I310)="Y",TRIM(I310)="yes"),"Yes","No")</f>
        <v>No</v>
      </c>
      <c r="K310" s="1" t="s">
        <v>29</v>
      </c>
      <c r="L310" s="1" t="str">
        <f>IF(C310="","Yes","No")</f>
        <v>No</v>
      </c>
      <c r="M310" s="1">
        <f>IF(C310="", "", C310 - B310)</f>
        <v>19</v>
      </c>
      <c r="N310" s="3">
        <f>DATE(YEAR(B310),MONTH(B310),1)</f>
        <v>45597</v>
      </c>
      <c r="O310" s="2">
        <f>DATE(YEAR(B310),MONTH(B310),1)</f>
        <v>45597</v>
      </c>
    </row>
    <row r="311" spans="1:15" x14ac:dyDescent="0.2">
      <c r="A311" s="1" t="s">
        <v>43</v>
      </c>
      <c r="B311" s="3">
        <v>45658</v>
      </c>
      <c r="C311" s="3">
        <v>45677</v>
      </c>
      <c r="D311" s="1" t="s">
        <v>33</v>
      </c>
      <c r="E311" s="1" t="str">
        <f>UPPER(TRIM(D311))</f>
        <v>POLICY UPDATE</v>
      </c>
      <c r="H311" s="1" t="str">
        <f>IF(OR(TRIM(G311)="Yes",TRIM(G311)="YES",TRIM(G311)="Y",TRIM(G311)="yes"),"Yes","No")</f>
        <v>No</v>
      </c>
      <c r="I311" s="1" t="s">
        <v>1</v>
      </c>
      <c r="J311" s="1" t="str">
        <f>IF(OR(TRIM(I311)="Yes",TRIM(I311)="YES",TRIM(I311)="Y",TRIM(I311)="yes"),"Yes","No")</f>
        <v>Yes</v>
      </c>
      <c r="K311" s="1" t="s">
        <v>15</v>
      </c>
      <c r="L311" s="1" t="str">
        <f>IF(C311="","Yes","No")</f>
        <v>No</v>
      </c>
      <c r="M311" s="1">
        <f>IF(C311="", "", C311 - B311)</f>
        <v>19</v>
      </c>
      <c r="N311" s="3">
        <f>DATE(YEAR(B311),MONTH(B311),1)</f>
        <v>45658</v>
      </c>
      <c r="O311" s="2">
        <f>DATE(YEAR(B311),MONTH(B311),1)</f>
        <v>45658</v>
      </c>
    </row>
    <row r="312" spans="1:15" x14ac:dyDescent="0.2">
      <c r="A312" s="1" t="s">
        <v>160</v>
      </c>
      <c r="B312" s="3">
        <v>45718</v>
      </c>
      <c r="C312" s="3">
        <v>45734</v>
      </c>
      <c r="D312" s="1" t="s">
        <v>35</v>
      </c>
      <c r="E312" s="1" t="str">
        <f>UPPER(TRIM(D312))</f>
        <v>DOCUMENTATION ERROR</v>
      </c>
      <c r="F312" s="1" t="s">
        <v>2</v>
      </c>
      <c r="G312" s="1" t="s">
        <v>12</v>
      </c>
      <c r="H312" s="1" t="str">
        <f>IF(OR(TRIM(G312)="Yes",TRIM(G312)="YES",TRIM(G312)="Y",TRIM(G312)="yes"),"Yes","No")</f>
        <v>No</v>
      </c>
      <c r="I312" s="1" t="s">
        <v>9</v>
      </c>
      <c r="J312" s="1" t="str">
        <f>IF(OR(TRIM(I312)="Yes",TRIM(I312)="YES",TRIM(I312)="Y",TRIM(I312)="yes"),"Yes","No")</f>
        <v>No</v>
      </c>
      <c r="K312" s="1" t="s">
        <v>29</v>
      </c>
      <c r="L312" s="1" t="str">
        <f>IF(C312="","Yes","No")</f>
        <v>No</v>
      </c>
      <c r="M312" s="1">
        <f>IF(C312="", "", C312 - B312)</f>
        <v>16</v>
      </c>
      <c r="N312" s="3">
        <f>DATE(YEAR(B312),MONTH(B312),1)</f>
        <v>45717</v>
      </c>
      <c r="O312" s="2">
        <f>DATE(YEAR(B312),MONTH(B312),1)</f>
        <v>45717</v>
      </c>
    </row>
    <row r="313" spans="1:15" x14ac:dyDescent="0.2">
      <c r="A313" s="1" t="s">
        <v>125</v>
      </c>
      <c r="B313" s="3">
        <v>45707</v>
      </c>
      <c r="C313" s="3">
        <v>45709</v>
      </c>
      <c r="D313" s="1" t="s">
        <v>19</v>
      </c>
      <c r="E313" s="1" t="str">
        <f>UPPER(TRIM(D313))</f>
        <v>DOC ERROR</v>
      </c>
      <c r="G313" s="1" t="s">
        <v>16</v>
      </c>
      <c r="H313" s="1" t="str">
        <f>IF(OR(TRIM(G313)="Yes",TRIM(G313)="YES",TRIM(G313)="Y",TRIM(G313)="yes"),"Yes","No")</f>
        <v>No</v>
      </c>
      <c r="I313" s="1" t="s">
        <v>0</v>
      </c>
      <c r="J313" s="1" t="str">
        <f>IF(OR(TRIM(I313)="Yes",TRIM(I313)="YES",TRIM(I313)="Y",TRIM(I313)="yes"),"Yes","No")</f>
        <v>Yes</v>
      </c>
      <c r="K313" s="1" t="s">
        <v>15</v>
      </c>
      <c r="L313" s="1" t="str">
        <f>IF(C313="","Yes","No")</f>
        <v>No</v>
      </c>
      <c r="M313" s="1">
        <f>IF(C313="", "", C313 - B313)</f>
        <v>2</v>
      </c>
      <c r="N313" s="3">
        <f>DATE(YEAR(B313),MONTH(B313),1)</f>
        <v>45689</v>
      </c>
      <c r="O313" s="2">
        <f>DATE(YEAR(B313),MONTH(B313),1)</f>
        <v>45689</v>
      </c>
    </row>
    <row r="314" spans="1:15" x14ac:dyDescent="0.2">
      <c r="A314" s="1" t="s">
        <v>159</v>
      </c>
      <c r="B314" s="3">
        <v>45759</v>
      </c>
      <c r="C314" s="3">
        <v>45766</v>
      </c>
      <c r="D314" s="1" t="s">
        <v>33</v>
      </c>
      <c r="E314" s="1" t="str">
        <f>UPPER(TRIM(D314))</f>
        <v>POLICY UPDATE</v>
      </c>
      <c r="F314" s="1" t="s">
        <v>21</v>
      </c>
      <c r="H314" s="1" t="str">
        <f>IF(OR(TRIM(G314)="Yes",TRIM(G314)="YES",TRIM(G314)="Y",TRIM(G314)="yes"),"Yes","No")</f>
        <v>No</v>
      </c>
      <c r="I314" s="1" t="s">
        <v>9</v>
      </c>
      <c r="J314" s="1" t="str">
        <f>IF(OR(TRIM(I314)="Yes",TRIM(I314)="YES",TRIM(I314)="Y",TRIM(I314)="yes"),"Yes","No")</f>
        <v>No</v>
      </c>
      <c r="K314" s="1" t="s">
        <v>15</v>
      </c>
      <c r="L314" s="1" t="str">
        <f>IF(C314="","Yes","No")</f>
        <v>No</v>
      </c>
      <c r="M314" s="1">
        <f>IF(C314="", "", C314 - B314)</f>
        <v>7</v>
      </c>
      <c r="N314" s="3">
        <f>DATE(YEAR(B314),MONTH(B314),1)</f>
        <v>45748</v>
      </c>
      <c r="O314" s="2">
        <f>DATE(YEAR(B314),MONTH(B314),1)</f>
        <v>45748</v>
      </c>
    </row>
    <row r="315" spans="1:15" x14ac:dyDescent="0.2">
      <c r="A315" s="1" t="s">
        <v>118</v>
      </c>
      <c r="B315" s="3">
        <v>45566</v>
      </c>
      <c r="C315" s="3">
        <v>45569</v>
      </c>
      <c r="D315" s="1" t="s">
        <v>19</v>
      </c>
      <c r="E315" s="1" t="str">
        <f>UPPER(TRIM(D315))</f>
        <v>DOC ERROR</v>
      </c>
      <c r="F315" s="1" t="s">
        <v>2</v>
      </c>
      <c r="G315" s="1" t="s">
        <v>1</v>
      </c>
      <c r="H315" s="1" t="str">
        <f>IF(OR(TRIM(G315)="Yes",TRIM(G315)="YES",TRIM(G315)="Y",TRIM(G315)="yes"),"Yes","No")</f>
        <v>Yes</v>
      </c>
      <c r="I315" s="1" t="s">
        <v>9</v>
      </c>
      <c r="J315" s="1" t="str">
        <f>IF(OR(TRIM(I315)="Yes",TRIM(I315)="YES",TRIM(I315)="Y",TRIM(I315)="yes"),"Yes","No")</f>
        <v>No</v>
      </c>
      <c r="L315" s="1" t="str">
        <f>IF(C315="","Yes","No")</f>
        <v>No</v>
      </c>
      <c r="M315" s="1">
        <f>IF(C315="", "", C315 - B315)</f>
        <v>3</v>
      </c>
      <c r="N315" s="3">
        <f>DATE(YEAR(B315),MONTH(B315),1)</f>
        <v>45566</v>
      </c>
      <c r="O315" s="2">
        <f>DATE(YEAR(B315),MONTH(B315),1)</f>
        <v>45566</v>
      </c>
    </row>
    <row r="316" spans="1:15" x14ac:dyDescent="0.2">
      <c r="A316" s="1" t="s">
        <v>151</v>
      </c>
      <c r="B316" s="3">
        <v>45677</v>
      </c>
      <c r="C316" s="3">
        <v>45690</v>
      </c>
      <c r="D316" s="1" t="s">
        <v>22</v>
      </c>
      <c r="E316" s="1" t="str">
        <f>UPPER(TRIM(D316))</f>
        <v>BILLING ISSUE</v>
      </c>
      <c r="F316" s="1" t="s">
        <v>2</v>
      </c>
      <c r="G316" s="1" t="s">
        <v>0</v>
      </c>
      <c r="H316" s="1" t="str">
        <f>IF(OR(TRIM(G316)="Yes",TRIM(G316)="YES",TRIM(G316)="Y",TRIM(G316)="yes"),"Yes","No")</f>
        <v>Yes</v>
      </c>
      <c r="I316" s="1" t="s">
        <v>16</v>
      </c>
      <c r="J316" s="1" t="str">
        <f>IF(OR(TRIM(I316)="Yes",TRIM(I316)="YES",TRIM(I316)="Y",TRIM(I316)="yes"),"Yes","No")</f>
        <v>No</v>
      </c>
      <c r="L316" s="1" t="str">
        <f>IF(C316="","Yes","No")</f>
        <v>No</v>
      </c>
      <c r="M316" s="1">
        <f>IF(C316="", "", C316 - B316)</f>
        <v>13</v>
      </c>
      <c r="N316" s="3">
        <f>DATE(YEAR(B316),MONTH(B316),1)</f>
        <v>45658</v>
      </c>
      <c r="O316" s="2">
        <f>DATE(YEAR(B316),MONTH(B316),1)</f>
        <v>45658</v>
      </c>
    </row>
    <row r="317" spans="1:15" x14ac:dyDescent="0.2">
      <c r="A317" s="1" t="s">
        <v>8</v>
      </c>
      <c r="B317" s="3">
        <v>45612</v>
      </c>
      <c r="C317" s="3">
        <v>45622</v>
      </c>
      <c r="D317" s="1" t="s">
        <v>44</v>
      </c>
      <c r="E317" s="1" t="str">
        <f>UPPER(TRIM(D317))</f>
        <v>COMMUNICATION DELAY</v>
      </c>
      <c r="F317" s="1" t="s">
        <v>21</v>
      </c>
      <c r="G317" s="1" t="s">
        <v>12</v>
      </c>
      <c r="H317" s="1" t="str">
        <f>IF(OR(TRIM(G317)="Yes",TRIM(G317)="YES",TRIM(G317)="Y",TRIM(G317)="yes"),"Yes","No")</f>
        <v>No</v>
      </c>
      <c r="I317" s="1" t="s">
        <v>16</v>
      </c>
      <c r="J317" s="1" t="str">
        <f>IF(OR(TRIM(I317)="Yes",TRIM(I317)="YES",TRIM(I317)="Y",TRIM(I317)="yes"),"Yes","No")</f>
        <v>No</v>
      </c>
      <c r="K317" s="1" t="s">
        <v>15</v>
      </c>
      <c r="L317" s="1" t="str">
        <f>IF(C317="","Yes","No")</f>
        <v>No</v>
      </c>
      <c r="M317" s="1">
        <f>IF(C317="", "", C317 - B317)</f>
        <v>10</v>
      </c>
      <c r="N317" s="3">
        <f>DATE(YEAR(B317),MONTH(B317),1)</f>
        <v>45597</v>
      </c>
      <c r="O317" s="2">
        <f>DATE(YEAR(B317),MONTH(B317),1)</f>
        <v>45597</v>
      </c>
    </row>
    <row r="318" spans="1:15" x14ac:dyDescent="0.2">
      <c r="A318" s="1" t="s">
        <v>78</v>
      </c>
      <c r="B318" s="3">
        <v>45679</v>
      </c>
      <c r="C318" s="3">
        <v>45682</v>
      </c>
      <c r="D318" s="1" t="s">
        <v>7</v>
      </c>
      <c r="E318" s="1" t="str">
        <f>UPPER(TRIM(D318))</f>
        <v>BILLING ISSUE</v>
      </c>
      <c r="F318" s="1" t="s">
        <v>18</v>
      </c>
      <c r="G318" s="1" t="s">
        <v>16</v>
      </c>
      <c r="H318" s="1" t="str">
        <f>IF(OR(TRIM(G318)="Yes",TRIM(G318)="YES",TRIM(G318)="Y",TRIM(G318)="yes"),"Yes","No")</f>
        <v>No</v>
      </c>
      <c r="I318" s="1" t="s">
        <v>16</v>
      </c>
      <c r="J318" s="1" t="str">
        <f>IF(OR(TRIM(I318)="Yes",TRIM(I318)="YES",TRIM(I318)="Y",TRIM(I318)="yes"),"Yes","No")</f>
        <v>No</v>
      </c>
      <c r="K318" s="1" t="s">
        <v>29</v>
      </c>
      <c r="L318" s="1" t="str">
        <f>IF(C318="","Yes","No")</f>
        <v>No</v>
      </c>
      <c r="M318" s="1">
        <f>IF(C318="", "", C318 - B318)</f>
        <v>3</v>
      </c>
      <c r="N318" s="3">
        <f>DATE(YEAR(B318),MONTH(B318),1)</f>
        <v>45658</v>
      </c>
      <c r="O318" s="2">
        <f>DATE(YEAR(B318),MONTH(B318),1)</f>
        <v>45658</v>
      </c>
    </row>
    <row r="319" spans="1:15" x14ac:dyDescent="0.2">
      <c r="A319" s="1" t="s">
        <v>45</v>
      </c>
      <c r="B319" s="3">
        <v>45658</v>
      </c>
      <c r="C319" s="3">
        <v>45666</v>
      </c>
      <c r="D319" s="1" t="s">
        <v>7</v>
      </c>
      <c r="E319" s="1" t="str">
        <f>UPPER(TRIM(D319))</f>
        <v>BILLING ISSUE</v>
      </c>
      <c r="F319" s="1" t="s">
        <v>18</v>
      </c>
      <c r="G319" s="1" t="s">
        <v>1</v>
      </c>
      <c r="H319" s="1" t="str">
        <f>IF(OR(TRIM(G319)="Yes",TRIM(G319)="YES",TRIM(G319)="Y",TRIM(G319)="yes"),"Yes","No")</f>
        <v>Yes</v>
      </c>
      <c r="I319" s="1" t="s">
        <v>1</v>
      </c>
      <c r="J319" s="1" t="str">
        <f>IF(OR(TRIM(I319)="Yes",TRIM(I319)="YES",TRIM(I319)="Y",TRIM(I319)="yes"),"Yes","No")</f>
        <v>Yes</v>
      </c>
      <c r="K319" s="1" t="s">
        <v>15</v>
      </c>
      <c r="L319" s="1" t="str">
        <f>IF(C319="","Yes","No")</f>
        <v>No</v>
      </c>
      <c r="M319" s="1">
        <f>IF(C319="", "", C319 - B319)</f>
        <v>8</v>
      </c>
      <c r="N319" s="3">
        <f>DATE(YEAR(B319),MONTH(B319),1)</f>
        <v>45658</v>
      </c>
      <c r="O319" s="2">
        <f>DATE(YEAR(B319),MONTH(B319),1)</f>
        <v>45658</v>
      </c>
    </row>
    <row r="320" spans="1:15" x14ac:dyDescent="0.2">
      <c r="A320" s="1" t="s">
        <v>158</v>
      </c>
      <c r="B320" s="3">
        <v>45720</v>
      </c>
      <c r="C320" s="3">
        <v>45731</v>
      </c>
      <c r="D320" s="1" t="s">
        <v>27</v>
      </c>
      <c r="E320" s="1" t="str">
        <f>UPPER(TRIM(D320))</f>
        <v>SERVICE DELAY</v>
      </c>
      <c r="F320" s="1" t="s">
        <v>6</v>
      </c>
      <c r="G320" s="1" t="s">
        <v>9</v>
      </c>
      <c r="H320" s="1" t="str">
        <f>IF(OR(TRIM(G320)="Yes",TRIM(G320)="YES",TRIM(G320)="Y",TRIM(G320)="yes"),"Yes","No")</f>
        <v>No</v>
      </c>
      <c r="J320" s="1" t="str">
        <f>IF(OR(TRIM(I320)="Yes",TRIM(I320)="YES",TRIM(I320)="Y",TRIM(I320)="yes"),"Yes","No")</f>
        <v>No</v>
      </c>
      <c r="K320" s="1" t="s">
        <v>5</v>
      </c>
      <c r="L320" s="1" t="str">
        <f>IF(C320="","Yes","No")</f>
        <v>No</v>
      </c>
      <c r="M320" s="1">
        <f>IF(C320="", "", C320 - B320)</f>
        <v>11</v>
      </c>
      <c r="N320" s="3">
        <f>DATE(YEAR(B320),MONTH(B320),1)</f>
        <v>45717</v>
      </c>
      <c r="O320" s="2">
        <f>DATE(YEAR(B320),MONTH(B320),1)</f>
        <v>45717</v>
      </c>
    </row>
    <row r="321" spans="1:15" x14ac:dyDescent="0.2">
      <c r="A321" s="1" t="s">
        <v>157</v>
      </c>
      <c r="B321" s="3">
        <v>45614</v>
      </c>
      <c r="C321" s="3">
        <v>45627</v>
      </c>
      <c r="D321" s="1" t="s">
        <v>44</v>
      </c>
      <c r="E321" s="1" t="str">
        <f>UPPER(TRIM(D321))</f>
        <v>COMMUNICATION DELAY</v>
      </c>
      <c r="F321" s="1" t="s">
        <v>6</v>
      </c>
      <c r="H321" s="1" t="str">
        <f>IF(OR(TRIM(G321)="Yes",TRIM(G321)="YES",TRIM(G321)="Y",TRIM(G321)="yes"),"Yes","No")</f>
        <v>No</v>
      </c>
      <c r="I321" s="1" t="s">
        <v>16</v>
      </c>
      <c r="J321" s="1" t="str">
        <f>IF(OR(TRIM(I321)="Yes",TRIM(I321)="YES",TRIM(I321)="Y",TRIM(I321)="yes"),"Yes","No")</f>
        <v>No</v>
      </c>
      <c r="K321" s="1" t="s">
        <v>15</v>
      </c>
      <c r="L321" s="1" t="str">
        <f>IF(C321="","Yes","No")</f>
        <v>No</v>
      </c>
      <c r="M321" s="1">
        <f>IF(C321="", "", C321 - B321)</f>
        <v>13</v>
      </c>
      <c r="N321" s="3">
        <f>DATE(YEAR(B321),MONTH(B321),1)</f>
        <v>45597</v>
      </c>
      <c r="O321" s="2">
        <f>DATE(YEAR(B321),MONTH(B321),1)</f>
        <v>45597</v>
      </c>
    </row>
    <row r="322" spans="1:15" x14ac:dyDescent="0.2">
      <c r="A322" s="1" t="s">
        <v>125</v>
      </c>
      <c r="B322" s="3">
        <v>45745</v>
      </c>
      <c r="C322" s="3">
        <v>45765</v>
      </c>
      <c r="D322" s="1" t="s">
        <v>24</v>
      </c>
      <c r="E322" s="1" t="str">
        <f>UPPER(TRIM(D322))</f>
        <v>BILLING ISSUE</v>
      </c>
      <c r="F322" s="1" t="s">
        <v>18</v>
      </c>
      <c r="G322" s="1" t="s">
        <v>47</v>
      </c>
      <c r="H322" s="1" t="str">
        <f>IF(OR(TRIM(G322)="Yes",TRIM(G322)="YES",TRIM(G322)="Y",TRIM(G322)="yes"),"Yes","No")</f>
        <v>Yes</v>
      </c>
      <c r="I322" s="1" t="s">
        <v>1</v>
      </c>
      <c r="J322" s="1" t="str">
        <f>IF(OR(TRIM(I322)="Yes",TRIM(I322)="YES",TRIM(I322)="Y",TRIM(I322)="yes"),"Yes","No")</f>
        <v>Yes</v>
      </c>
      <c r="K322" s="1" t="s">
        <v>29</v>
      </c>
      <c r="L322" s="1" t="str">
        <f>IF(C322="","Yes","No")</f>
        <v>No</v>
      </c>
      <c r="M322" s="1">
        <f>IF(C322="", "", C322 - B322)</f>
        <v>20</v>
      </c>
      <c r="N322" s="3">
        <f>DATE(YEAR(B322),MONTH(B322),1)</f>
        <v>45717</v>
      </c>
      <c r="O322" s="2">
        <f>DATE(YEAR(B322),MONTH(B322),1)</f>
        <v>45717</v>
      </c>
    </row>
    <row r="323" spans="1:15" x14ac:dyDescent="0.2">
      <c r="A323" s="1" t="s">
        <v>145</v>
      </c>
      <c r="B323" s="3">
        <v>45578</v>
      </c>
      <c r="C323" s="3">
        <v>45579</v>
      </c>
      <c r="D323" s="1" t="s">
        <v>33</v>
      </c>
      <c r="E323" s="1" t="str">
        <f>UPPER(TRIM(D323))</f>
        <v>POLICY UPDATE</v>
      </c>
      <c r="F323" s="1" t="s">
        <v>18</v>
      </c>
      <c r="G323" s="1" t="s">
        <v>9</v>
      </c>
      <c r="H323" s="1" t="str">
        <f>IF(OR(TRIM(G323)="Yes",TRIM(G323)="YES",TRIM(G323)="Y",TRIM(G323)="yes"),"Yes","No")</f>
        <v>No</v>
      </c>
      <c r="I323" s="1" t="s">
        <v>0</v>
      </c>
      <c r="J323" s="1" t="str">
        <f>IF(OR(TRIM(I323)="Yes",TRIM(I323)="YES",TRIM(I323)="Y",TRIM(I323)="yes"),"Yes","No")</f>
        <v>Yes</v>
      </c>
      <c r="L323" s="1" t="str">
        <f>IF(C323="","Yes","No")</f>
        <v>No</v>
      </c>
      <c r="M323" s="1">
        <f>IF(C323="", "", C323 - B323)</f>
        <v>1</v>
      </c>
      <c r="N323" s="3">
        <f>DATE(YEAR(B323),MONTH(B323),1)</f>
        <v>45566</v>
      </c>
      <c r="O323" s="2">
        <f>DATE(YEAR(B323),MONTH(B323),1)</f>
        <v>45566</v>
      </c>
    </row>
    <row r="324" spans="1:15" x14ac:dyDescent="0.2">
      <c r="A324" s="1" t="s">
        <v>70</v>
      </c>
      <c r="B324" s="3">
        <v>45584</v>
      </c>
      <c r="C324" s="3">
        <v>45585</v>
      </c>
      <c r="D324" s="1" t="s">
        <v>24</v>
      </c>
      <c r="E324" s="1" t="str">
        <f>UPPER(TRIM(D324))</f>
        <v>BILLING ISSUE</v>
      </c>
      <c r="G324" s="1" t="s">
        <v>47</v>
      </c>
      <c r="H324" s="1" t="str">
        <f>IF(OR(TRIM(G324)="Yes",TRIM(G324)="YES",TRIM(G324)="Y",TRIM(G324)="yes"),"Yes","No")</f>
        <v>Yes</v>
      </c>
      <c r="J324" s="1" t="str">
        <f>IF(OR(TRIM(I324)="Yes",TRIM(I324)="YES",TRIM(I324)="Y",TRIM(I324)="yes"),"Yes","No")</f>
        <v>No</v>
      </c>
      <c r="L324" s="1" t="str">
        <f>IF(C324="","Yes","No")</f>
        <v>No</v>
      </c>
      <c r="M324" s="1">
        <f>IF(C324="", "", C324 - B324)</f>
        <v>1</v>
      </c>
      <c r="N324" s="3">
        <f>DATE(YEAR(B324),MONTH(B324),1)</f>
        <v>45566</v>
      </c>
      <c r="O324" s="2">
        <f>DATE(YEAR(B324),MONTH(B324),1)</f>
        <v>45566</v>
      </c>
    </row>
    <row r="325" spans="1:15" x14ac:dyDescent="0.2">
      <c r="A325" s="1" t="s">
        <v>119</v>
      </c>
      <c r="B325" s="3">
        <v>45758</v>
      </c>
      <c r="C325" s="3">
        <v>45769</v>
      </c>
      <c r="D325" s="1" t="s">
        <v>7</v>
      </c>
      <c r="E325" s="1" t="str">
        <f>UPPER(TRIM(D325))</f>
        <v>BILLING ISSUE</v>
      </c>
      <c r="F325" s="1" t="s">
        <v>2</v>
      </c>
      <c r="G325" s="1" t="s">
        <v>12</v>
      </c>
      <c r="H325" s="1" t="str">
        <f>IF(OR(TRIM(G325)="Yes",TRIM(G325)="YES",TRIM(G325)="Y",TRIM(G325)="yes"),"Yes","No")</f>
        <v>No</v>
      </c>
      <c r="I325" s="1" t="s">
        <v>0</v>
      </c>
      <c r="J325" s="1" t="str">
        <f>IF(OR(TRIM(I325)="Yes",TRIM(I325)="YES",TRIM(I325)="Y",TRIM(I325)="yes"),"Yes","No")</f>
        <v>Yes</v>
      </c>
      <c r="K325" s="1" t="s">
        <v>15</v>
      </c>
      <c r="L325" s="1" t="str">
        <f>IF(C325="","Yes","No")</f>
        <v>No</v>
      </c>
      <c r="M325" s="1">
        <f>IF(C325="", "", C325 - B325)</f>
        <v>11</v>
      </c>
      <c r="N325" s="3">
        <f>DATE(YEAR(B325),MONTH(B325),1)</f>
        <v>45748</v>
      </c>
      <c r="O325" s="2">
        <f>DATE(YEAR(B325),MONTH(B325),1)</f>
        <v>45748</v>
      </c>
    </row>
    <row r="326" spans="1:15" x14ac:dyDescent="0.2">
      <c r="A326" s="1" t="s">
        <v>156</v>
      </c>
      <c r="B326" s="3">
        <v>45616</v>
      </c>
      <c r="C326" s="3">
        <v>45622</v>
      </c>
      <c r="D326" s="1" t="s">
        <v>10</v>
      </c>
      <c r="E326" s="1" t="str">
        <f>UPPER(TRIM(D326))</f>
        <v>POLICY UPDATE</v>
      </c>
      <c r="F326" s="1" t="s">
        <v>2</v>
      </c>
      <c r="G326" s="1" t="s">
        <v>9</v>
      </c>
      <c r="H326" s="1" t="str">
        <f>IF(OR(TRIM(G326)="Yes",TRIM(G326)="YES",TRIM(G326)="Y",TRIM(G326)="yes"),"Yes","No")</f>
        <v>No</v>
      </c>
      <c r="J326" s="1" t="str">
        <f>IF(OR(TRIM(I326)="Yes",TRIM(I326)="YES",TRIM(I326)="Y",TRIM(I326)="yes"),"Yes","No")</f>
        <v>No</v>
      </c>
      <c r="L326" s="1" t="str">
        <f>IF(C326="","Yes","No")</f>
        <v>No</v>
      </c>
      <c r="M326" s="1">
        <f>IF(C326="", "", C326 - B326)</f>
        <v>6</v>
      </c>
      <c r="N326" s="3">
        <f>DATE(YEAR(B326),MONTH(B326),1)</f>
        <v>45597</v>
      </c>
      <c r="O326" s="2">
        <f>DATE(YEAR(B326),MONTH(B326),1)</f>
        <v>45597</v>
      </c>
    </row>
    <row r="327" spans="1:15" x14ac:dyDescent="0.2">
      <c r="A327" s="1" t="s">
        <v>80</v>
      </c>
      <c r="B327" s="3">
        <v>45723</v>
      </c>
      <c r="C327" s="3">
        <v>45730</v>
      </c>
      <c r="D327" s="1" t="s">
        <v>44</v>
      </c>
      <c r="E327" s="1" t="str">
        <f>UPPER(TRIM(D327))</f>
        <v>COMMUNICATION DELAY</v>
      </c>
      <c r="F327" s="1" t="s">
        <v>6</v>
      </c>
      <c r="G327" s="1" t="s">
        <v>16</v>
      </c>
      <c r="H327" s="1" t="str">
        <f>IF(OR(TRIM(G327)="Yes",TRIM(G327)="YES",TRIM(G327)="Y",TRIM(G327)="yes"),"Yes","No")</f>
        <v>No</v>
      </c>
      <c r="I327" s="1" t="s">
        <v>0</v>
      </c>
      <c r="J327" s="1" t="str">
        <f>IF(OR(TRIM(I327)="Yes",TRIM(I327)="YES",TRIM(I327)="Y",TRIM(I327)="yes"),"Yes","No")</f>
        <v>Yes</v>
      </c>
      <c r="K327" s="1" t="s">
        <v>5</v>
      </c>
      <c r="L327" s="1" t="str">
        <f>IF(C327="","Yes","No")</f>
        <v>No</v>
      </c>
      <c r="M327" s="1">
        <f>IF(C327="", "", C327 - B327)</f>
        <v>7</v>
      </c>
      <c r="N327" s="3">
        <f>DATE(YEAR(B327),MONTH(B327),1)</f>
        <v>45717</v>
      </c>
      <c r="O327" s="2">
        <f>DATE(YEAR(B327),MONTH(B327),1)</f>
        <v>45717</v>
      </c>
    </row>
    <row r="328" spans="1:15" x14ac:dyDescent="0.2">
      <c r="A328" s="1" t="s">
        <v>68</v>
      </c>
      <c r="B328" s="3">
        <v>45744</v>
      </c>
      <c r="C328" s="3">
        <v>45759</v>
      </c>
      <c r="D328" s="1" t="s">
        <v>7</v>
      </c>
      <c r="E328" s="1" t="str">
        <f>UPPER(TRIM(D328))</f>
        <v>BILLING ISSUE</v>
      </c>
      <c r="F328" s="1" t="s">
        <v>2</v>
      </c>
      <c r="G328" s="1" t="s">
        <v>9</v>
      </c>
      <c r="H328" s="1" t="str">
        <f>IF(OR(TRIM(G328)="Yes",TRIM(G328)="YES",TRIM(G328)="Y",TRIM(G328)="yes"),"Yes","No")</f>
        <v>No</v>
      </c>
      <c r="J328" s="1" t="str">
        <f>IF(OR(TRIM(I328)="Yes",TRIM(I328)="YES",TRIM(I328)="Y",TRIM(I328)="yes"),"Yes","No")</f>
        <v>No</v>
      </c>
      <c r="K328" s="1" t="s">
        <v>5</v>
      </c>
      <c r="L328" s="1" t="str">
        <f>IF(C328="","Yes","No")</f>
        <v>No</v>
      </c>
      <c r="M328" s="1">
        <f>IF(C328="", "", C328 - B328)</f>
        <v>15</v>
      </c>
      <c r="N328" s="3">
        <f>DATE(YEAR(B328),MONTH(B328),1)</f>
        <v>45717</v>
      </c>
      <c r="O328" s="2">
        <f>DATE(YEAR(B328),MONTH(B328),1)</f>
        <v>45717</v>
      </c>
    </row>
    <row r="329" spans="1:15" x14ac:dyDescent="0.2">
      <c r="A329" s="1" t="s">
        <v>155</v>
      </c>
      <c r="B329" s="3">
        <v>45618</v>
      </c>
      <c r="D329" s="1" t="s">
        <v>10</v>
      </c>
      <c r="E329" s="1" t="str">
        <f>UPPER(TRIM(D329))</f>
        <v>POLICY UPDATE</v>
      </c>
      <c r="F329" s="1" t="s">
        <v>21</v>
      </c>
      <c r="G329" s="1" t="s">
        <v>9</v>
      </c>
      <c r="H329" s="1" t="str">
        <f>IF(OR(TRIM(G329)="Yes",TRIM(G329)="YES",TRIM(G329)="Y",TRIM(G329)="yes"),"Yes","No")</f>
        <v>No</v>
      </c>
      <c r="J329" s="1" t="str">
        <f>IF(OR(TRIM(I329)="Yes",TRIM(I329)="YES",TRIM(I329)="Y",TRIM(I329)="yes"),"Yes","No")</f>
        <v>No</v>
      </c>
      <c r="L329" s="1" t="str">
        <f>IF(C329="","Yes","No")</f>
        <v>Yes</v>
      </c>
      <c r="M329" s="1" t="str">
        <f>IF(C329="", "", C329 - B329)</f>
        <v/>
      </c>
      <c r="N329" s="3">
        <f>DATE(YEAR(B329),MONTH(B329),1)</f>
        <v>45597</v>
      </c>
      <c r="O329" s="2">
        <f>DATE(YEAR(B329),MONTH(B329),1)</f>
        <v>45597</v>
      </c>
    </row>
    <row r="330" spans="1:15" x14ac:dyDescent="0.2">
      <c r="A330" s="1" t="s">
        <v>70</v>
      </c>
      <c r="B330" s="3">
        <v>45683</v>
      </c>
      <c r="C330" s="3">
        <v>45686</v>
      </c>
      <c r="D330" s="1" t="s">
        <v>24</v>
      </c>
      <c r="E330" s="1" t="str">
        <f>UPPER(TRIM(D330))</f>
        <v>BILLING ISSUE</v>
      </c>
      <c r="F330" s="1" t="s">
        <v>2</v>
      </c>
      <c r="G330" s="1" t="s">
        <v>47</v>
      </c>
      <c r="H330" s="1" t="str">
        <f>IF(OR(TRIM(G330)="Yes",TRIM(G330)="YES",TRIM(G330)="Y",TRIM(G330)="yes"),"Yes","No")</f>
        <v>Yes</v>
      </c>
      <c r="I330" s="1" t="s">
        <v>0</v>
      </c>
      <c r="J330" s="1" t="str">
        <f>IF(OR(TRIM(I330)="Yes",TRIM(I330)="YES",TRIM(I330)="Y",TRIM(I330)="yes"),"Yes","No")</f>
        <v>Yes</v>
      </c>
      <c r="K330" s="1" t="s">
        <v>29</v>
      </c>
      <c r="L330" s="1" t="str">
        <f>IF(C330="","Yes","No")</f>
        <v>No</v>
      </c>
      <c r="M330" s="1">
        <f>IF(C330="", "", C330 - B330)</f>
        <v>3</v>
      </c>
      <c r="N330" s="3">
        <f>DATE(YEAR(B330),MONTH(B330),1)</f>
        <v>45658</v>
      </c>
      <c r="O330" s="2">
        <f>DATE(YEAR(B330),MONTH(B330),1)</f>
        <v>45658</v>
      </c>
    </row>
    <row r="331" spans="1:15" x14ac:dyDescent="0.2">
      <c r="A331" s="1" t="s">
        <v>154</v>
      </c>
      <c r="B331" s="3">
        <v>45729</v>
      </c>
      <c r="C331" s="3">
        <v>45749</v>
      </c>
      <c r="D331" s="1" t="s">
        <v>35</v>
      </c>
      <c r="E331" s="1" t="str">
        <f>UPPER(TRIM(D331))</f>
        <v>DOCUMENTATION ERROR</v>
      </c>
      <c r="F331" s="1" t="s">
        <v>2</v>
      </c>
      <c r="G331" s="1" t="s">
        <v>16</v>
      </c>
      <c r="H331" s="1" t="str">
        <f>IF(OR(TRIM(G331)="Yes",TRIM(G331)="YES",TRIM(G331)="Y",TRIM(G331)="yes"),"Yes","No")</f>
        <v>No</v>
      </c>
      <c r="I331" s="1" t="s">
        <v>0</v>
      </c>
      <c r="J331" s="1" t="str">
        <f>IF(OR(TRIM(I331)="Yes",TRIM(I331)="YES",TRIM(I331)="Y",TRIM(I331)="yes"),"Yes","No")</f>
        <v>Yes</v>
      </c>
      <c r="K331" s="1" t="s">
        <v>5</v>
      </c>
      <c r="L331" s="1" t="str">
        <f>IF(C331="","Yes","No")</f>
        <v>No</v>
      </c>
      <c r="M331" s="1">
        <f>IF(C331="", "", C331 - B331)</f>
        <v>20</v>
      </c>
      <c r="N331" s="3">
        <f>DATE(YEAR(B331),MONTH(B331),1)</f>
        <v>45717</v>
      </c>
      <c r="O331" s="2">
        <f>DATE(YEAR(B331),MONTH(B331),1)</f>
        <v>45717</v>
      </c>
    </row>
    <row r="332" spans="1:15" x14ac:dyDescent="0.2">
      <c r="A332" s="1" t="s">
        <v>153</v>
      </c>
      <c r="B332" s="3">
        <v>45652</v>
      </c>
      <c r="C332" s="3">
        <v>45667</v>
      </c>
      <c r="D332" s="1" t="s">
        <v>24</v>
      </c>
      <c r="E332" s="1" t="str">
        <f>UPPER(TRIM(D332))</f>
        <v>BILLING ISSUE</v>
      </c>
      <c r="H332" s="1" t="str">
        <f>IF(OR(TRIM(G332)="Yes",TRIM(G332)="YES",TRIM(G332)="Y",TRIM(G332)="yes"),"Yes","No")</f>
        <v>No</v>
      </c>
      <c r="I332" s="1" t="s">
        <v>16</v>
      </c>
      <c r="J332" s="1" t="str">
        <f>IF(OR(TRIM(I332)="Yes",TRIM(I332)="YES",TRIM(I332)="Y",TRIM(I332)="yes"),"Yes","No")</f>
        <v>No</v>
      </c>
      <c r="K332" s="1" t="s">
        <v>15</v>
      </c>
      <c r="L332" s="1" t="str">
        <f>IF(C332="","Yes","No")</f>
        <v>No</v>
      </c>
      <c r="M332" s="1">
        <f>IF(C332="", "", C332 - B332)</f>
        <v>15</v>
      </c>
      <c r="N332" s="3">
        <f>DATE(YEAR(B332),MONTH(B332),1)</f>
        <v>45627</v>
      </c>
      <c r="O332" s="2">
        <f>DATE(YEAR(B332),MONTH(B332),1)</f>
        <v>45627</v>
      </c>
    </row>
    <row r="333" spans="1:15" x14ac:dyDescent="0.2">
      <c r="A333" s="1" t="s">
        <v>152</v>
      </c>
      <c r="B333" s="3">
        <v>45580</v>
      </c>
      <c r="C333" s="3">
        <v>45598</v>
      </c>
      <c r="D333" s="1" t="s">
        <v>24</v>
      </c>
      <c r="E333" s="1" t="str">
        <f>UPPER(TRIM(D333))</f>
        <v>BILLING ISSUE</v>
      </c>
      <c r="G333" s="1" t="s">
        <v>0</v>
      </c>
      <c r="H333" s="1" t="str">
        <f>IF(OR(TRIM(G333)="Yes",TRIM(G333)="YES",TRIM(G333)="Y",TRIM(G333)="yes"),"Yes","No")</f>
        <v>Yes</v>
      </c>
      <c r="J333" s="1" t="str">
        <f>IF(OR(TRIM(I333)="Yes",TRIM(I333)="YES",TRIM(I333)="Y",TRIM(I333)="yes"),"Yes","No")</f>
        <v>No</v>
      </c>
      <c r="L333" s="1" t="str">
        <f>IF(C333="","Yes","No")</f>
        <v>No</v>
      </c>
      <c r="M333" s="1">
        <f>IF(C333="", "", C333 - B333)</f>
        <v>18</v>
      </c>
      <c r="N333" s="3">
        <f>DATE(YEAR(B333),MONTH(B333),1)</f>
        <v>45566</v>
      </c>
      <c r="O333" s="2">
        <f>DATE(YEAR(B333),MONTH(B333),1)</f>
        <v>45566</v>
      </c>
    </row>
    <row r="334" spans="1:15" x14ac:dyDescent="0.2">
      <c r="A334" s="1" t="s">
        <v>94</v>
      </c>
      <c r="B334" s="3">
        <v>45720</v>
      </c>
      <c r="C334" s="3">
        <v>45725</v>
      </c>
      <c r="D334" s="1" t="s">
        <v>10</v>
      </c>
      <c r="E334" s="1" t="str">
        <f>UPPER(TRIM(D334))</f>
        <v>POLICY UPDATE</v>
      </c>
      <c r="F334" s="1" t="s">
        <v>21</v>
      </c>
      <c r="G334" s="1" t="s">
        <v>9</v>
      </c>
      <c r="H334" s="1" t="str">
        <f>IF(OR(TRIM(G334)="Yes",TRIM(G334)="YES",TRIM(G334)="Y",TRIM(G334)="yes"),"Yes","No")</f>
        <v>No</v>
      </c>
      <c r="J334" s="1" t="str">
        <f>IF(OR(TRIM(I334)="Yes",TRIM(I334)="YES",TRIM(I334)="Y",TRIM(I334)="yes"),"Yes","No")</f>
        <v>No</v>
      </c>
      <c r="K334" s="1" t="s">
        <v>29</v>
      </c>
      <c r="L334" s="1" t="str">
        <f>IF(C334="","Yes","No")</f>
        <v>No</v>
      </c>
      <c r="M334" s="1">
        <f>IF(C334="", "", C334 - B334)</f>
        <v>5</v>
      </c>
      <c r="N334" s="3">
        <f>DATE(YEAR(B334),MONTH(B334),1)</f>
        <v>45717</v>
      </c>
      <c r="O334" s="2">
        <f>DATE(YEAR(B334),MONTH(B334),1)</f>
        <v>45717</v>
      </c>
    </row>
    <row r="335" spans="1:15" x14ac:dyDescent="0.2">
      <c r="A335" s="1" t="s">
        <v>151</v>
      </c>
      <c r="B335" s="3">
        <v>45715</v>
      </c>
      <c r="D335" s="1" t="s">
        <v>19</v>
      </c>
      <c r="E335" s="1" t="str">
        <f>UPPER(TRIM(D335))</f>
        <v>DOC ERROR</v>
      </c>
      <c r="F335" s="1" t="s">
        <v>2</v>
      </c>
      <c r="G335" s="1" t="s">
        <v>47</v>
      </c>
      <c r="H335" s="1" t="str">
        <f>IF(OR(TRIM(G335)="Yes",TRIM(G335)="YES",TRIM(G335)="Y",TRIM(G335)="yes"),"Yes","No")</f>
        <v>Yes</v>
      </c>
      <c r="I335" s="1" t="s">
        <v>9</v>
      </c>
      <c r="J335" s="1" t="str">
        <f>IF(OR(TRIM(I335)="Yes",TRIM(I335)="YES",TRIM(I335)="Y",TRIM(I335)="yes"),"Yes","No")</f>
        <v>No</v>
      </c>
      <c r="L335" s="1" t="str">
        <f>IF(C335="","Yes","No")</f>
        <v>Yes</v>
      </c>
      <c r="M335" s="1" t="str">
        <f>IF(C335="", "", C335 - B335)</f>
        <v/>
      </c>
      <c r="N335" s="3">
        <f>DATE(YEAR(B335),MONTH(B335),1)</f>
        <v>45689</v>
      </c>
      <c r="O335" s="2">
        <f>DATE(YEAR(B335),MONTH(B335),1)</f>
        <v>45689</v>
      </c>
    </row>
    <row r="336" spans="1:15" x14ac:dyDescent="0.2">
      <c r="A336" s="1" t="s">
        <v>93</v>
      </c>
      <c r="B336" s="3">
        <v>45711</v>
      </c>
      <c r="C336" s="3">
        <v>45725</v>
      </c>
      <c r="D336" s="1" t="s">
        <v>33</v>
      </c>
      <c r="E336" s="1" t="str">
        <f>UPPER(TRIM(D336))</f>
        <v>POLICY UPDATE</v>
      </c>
      <c r="G336" s="1" t="s">
        <v>47</v>
      </c>
      <c r="H336" s="1" t="str">
        <f>IF(OR(TRIM(G336)="Yes",TRIM(G336)="YES",TRIM(G336)="Y",TRIM(G336)="yes"),"Yes","No")</f>
        <v>Yes</v>
      </c>
      <c r="J336" s="1" t="str">
        <f>IF(OR(TRIM(I336)="Yes",TRIM(I336)="YES",TRIM(I336)="Y",TRIM(I336)="yes"),"Yes","No")</f>
        <v>No</v>
      </c>
      <c r="L336" s="1" t="str">
        <f>IF(C336="","Yes","No")</f>
        <v>No</v>
      </c>
      <c r="M336" s="1">
        <f>IF(C336="", "", C336 - B336)</f>
        <v>14</v>
      </c>
      <c r="N336" s="3">
        <f>DATE(YEAR(B336),MONTH(B336),1)</f>
        <v>45689</v>
      </c>
      <c r="O336" s="2">
        <f>DATE(YEAR(B336),MONTH(B336),1)</f>
        <v>45689</v>
      </c>
    </row>
    <row r="337" spans="1:15" x14ac:dyDescent="0.2">
      <c r="A337" s="1" t="s">
        <v>150</v>
      </c>
      <c r="B337" s="3">
        <v>45596</v>
      </c>
      <c r="C337" s="3">
        <v>45605</v>
      </c>
      <c r="D337" s="1" t="s">
        <v>27</v>
      </c>
      <c r="E337" s="1" t="str">
        <f>UPPER(TRIM(D337))</f>
        <v>SERVICE DELAY</v>
      </c>
      <c r="F337" s="1" t="s">
        <v>21</v>
      </c>
      <c r="H337" s="1" t="str">
        <f>IF(OR(TRIM(G337)="Yes",TRIM(G337)="YES",TRIM(G337)="Y",TRIM(G337)="yes"),"Yes","No")</f>
        <v>No</v>
      </c>
      <c r="I337" s="1" t="s">
        <v>1</v>
      </c>
      <c r="J337" s="1" t="str">
        <f>IF(OR(TRIM(I337)="Yes",TRIM(I337)="YES",TRIM(I337)="Y",TRIM(I337)="yes"),"Yes","No")</f>
        <v>Yes</v>
      </c>
      <c r="L337" s="1" t="str">
        <f>IF(C337="","Yes","No")</f>
        <v>No</v>
      </c>
      <c r="M337" s="1">
        <f>IF(C337="", "", C337 - B337)</f>
        <v>9</v>
      </c>
      <c r="N337" s="3">
        <f>DATE(YEAR(B337),MONTH(B337),1)</f>
        <v>45566</v>
      </c>
      <c r="O337" s="2">
        <f>DATE(YEAR(B337),MONTH(B337),1)</f>
        <v>45566</v>
      </c>
    </row>
    <row r="338" spans="1:15" x14ac:dyDescent="0.2">
      <c r="A338" s="1" t="s">
        <v>149</v>
      </c>
      <c r="B338" s="3">
        <v>45589</v>
      </c>
      <c r="C338" s="3">
        <v>45595</v>
      </c>
      <c r="D338" s="1" t="s">
        <v>3</v>
      </c>
      <c r="E338" s="1" t="str">
        <f>UPPER(TRIM(D338))</f>
        <v>COMMUNICATION DELAY</v>
      </c>
      <c r="H338" s="1" t="str">
        <f>IF(OR(TRIM(G338)="Yes",TRIM(G338)="YES",TRIM(G338)="Y",TRIM(G338)="yes"),"Yes","No")</f>
        <v>No</v>
      </c>
      <c r="J338" s="1" t="str">
        <f>IF(OR(TRIM(I338)="Yes",TRIM(I338)="YES",TRIM(I338)="Y",TRIM(I338)="yes"),"Yes","No")</f>
        <v>No</v>
      </c>
      <c r="K338" s="1" t="s">
        <v>5</v>
      </c>
      <c r="L338" s="1" t="str">
        <f>IF(C338="","Yes","No")</f>
        <v>No</v>
      </c>
      <c r="M338" s="1">
        <f>IF(C338="", "", C338 - B338)</f>
        <v>6</v>
      </c>
      <c r="N338" s="3">
        <f>DATE(YEAR(B338),MONTH(B338),1)</f>
        <v>45566</v>
      </c>
      <c r="O338" s="2">
        <f>DATE(YEAR(B338),MONTH(B338),1)</f>
        <v>45566</v>
      </c>
    </row>
    <row r="339" spans="1:15" x14ac:dyDescent="0.2">
      <c r="A339" s="1" t="s">
        <v>148</v>
      </c>
      <c r="B339" s="3">
        <v>45669</v>
      </c>
      <c r="C339" s="3">
        <v>45682</v>
      </c>
      <c r="D339" s="1" t="s">
        <v>7</v>
      </c>
      <c r="E339" s="1" t="str">
        <f>UPPER(TRIM(D339))</f>
        <v>BILLING ISSUE</v>
      </c>
      <c r="G339" s="1" t="s">
        <v>16</v>
      </c>
      <c r="H339" s="1" t="str">
        <f>IF(OR(TRIM(G339)="Yes",TRIM(G339)="YES",TRIM(G339)="Y",TRIM(G339)="yes"),"Yes","No")</f>
        <v>No</v>
      </c>
      <c r="J339" s="1" t="str">
        <f>IF(OR(TRIM(I339)="Yes",TRIM(I339)="YES",TRIM(I339)="Y",TRIM(I339)="yes"),"Yes","No")</f>
        <v>No</v>
      </c>
      <c r="K339" s="1" t="s">
        <v>5</v>
      </c>
      <c r="L339" s="1" t="str">
        <f>IF(C339="","Yes","No")</f>
        <v>No</v>
      </c>
      <c r="M339" s="1">
        <f>IF(C339="", "", C339 - B339)</f>
        <v>13</v>
      </c>
      <c r="N339" s="3">
        <f>DATE(YEAR(B339),MONTH(B339),1)</f>
        <v>45658</v>
      </c>
      <c r="O339" s="2">
        <f>DATE(YEAR(B339),MONTH(B339),1)</f>
        <v>45658</v>
      </c>
    </row>
    <row r="340" spans="1:15" x14ac:dyDescent="0.2">
      <c r="A340" s="1" t="s">
        <v>140</v>
      </c>
      <c r="B340" s="3">
        <v>45580</v>
      </c>
      <c r="C340" s="3">
        <v>45590</v>
      </c>
      <c r="D340" s="1" t="s">
        <v>7</v>
      </c>
      <c r="E340" s="1" t="str">
        <f>UPPER(TRIM(D340))</f>
        <v>BILLING ISSUE</v>
      </c>
      <c r="F340" s="1" t="s">
        <v>21</v>
      </c>
      <c r="G340" s="1" t="s">
        <v>1</v>
      </c>
      <c r="H340" s="1" t="str">
        <f>IF(OR(TRIM(G340)="Yes",TRIM(G340)="YES",TRIM(G340)="Y",TRIM(G340)="yes"),"Yes","No")</f>
        <v>Yes</v>
      </c>
      <c r="I340" s="1" t="s">
        <v>1</v>
      </c>
      <c r="J340" s="1" t="str">
        <f>IF(OR(TRIM(I340)="Yes",TRIM(I340)="YES",TRIM(I340)="Y",TRIM(I340)="yes"),"Yes","No")</f>
        <v>Yes</v>
      </c>
      <c r="K340" s="1" t="s">
        <v>15</v>
      </c>
      <c r="L340" s="1" t="str">
        <f>IF(C340="","Yes","No")</f>
        <v>No</v>
      </c>
      <c r="M340" s="1">
        <f>IF(C340="", "", C340 - B340)</f>
        <v>10</v>
      </c>
      <c r="N340" s="3">
        <f>DATE(YEAR(B340),MONTH(B340),1)</f>
        <v>45566</v>
      </c>
      <c r="O340" s="2">
        <f>DATE(YEAR(B340),MONTH(B340),1)</f>
        <v>45566</v>
      </c>
    </row>
    <row r="341" spans="1:15" x14ac:dyDescent="0.2">
      <c r="A341" s="1" t="s">
        <v>129</v>
      </c>
      <c r="B341" s="3">
        <v>45634</v>
      </c>
      <c r="D341" s="1" t="s">
        <v>3</v>
      </c>
      <c r="E341" s="1" t="str">
        <f>UPPER(TRIM(D341))</f>
        <v>COMMUNICATION DELAY</v>
      </c>
      <c r="F341" s="1" t="s">
        <v>21</v>
      </c>
      <c r="G341" s="1" t="s">
        <v>9</v>
      </c>
      <c r="H341" s="1" t="str">
        <f>IF(OR(TRIM(G341)="Yes",TRIM(G341)="YES",TRIM(G341)="Y",TRIM(G341)="yes"),"Yes","No")</f>
        <v>No</v>
      </c>
      <c r="J341" s="1" t="str">
        <f>IF(OR(TRIM(I341)="Yes",TRIM(I341)="YES",TRIM(I341)="Y",TRIM(I341)="yes"),"Yes","No")</f>
        <v>No</v>
      </c>
      <c r="K341" s="1" t="s">
        <v>5</v>
      </c>
      <c r="L341" s="1" t="str">
        <f>IF(C341="","Yes","No")</f>
        <v>Yes</v>
      </c>
      <c r="M341" s="1" t="str">
        <f>IF(C341="", "", C341 - B341)</f>
        <v/>
      </c>
      <c r="N341" s="3">
        <f>DATE(YEAR(B341),MONTH(B341),1)</f>
        <v>45627</v>
      </c>
      <c r="O341" s="2">
        <f>DATE(YEAR(B341),MONTH(B341),1)</f>
        <v>45627</v>
      </c>
    </row>
    <row r="342" spans="1:15" x14ac:dyDescent="0.2">
      <c r="A342" s="1" t="s">
        <v>147</v>
      </c>
      <c r="B342" s="3">
        <v>45725</v>
      </c>
      <c r="C342" s="3">
        <v>45740</v>
      </c>
      <c r="D342" s="1" t="s">
        <v>22</v>
      </c>
      <c r="E342" s="1" t="str">
        <f>UPPER(TRIM(D342))</f>
        <v>BILLING ISSUE</v>
      </c>
      <c r="F342" s="1" t="s">
        <v>6</v>
      </c>
      <c r="G342" s="1" t="s">
        <v>47</v>
      </c>
      <c r="H342" s="1" t="str">
        <f>IF(OR(TRIM(G342)="Yes",TRIM(G342)="YES",TRIM(G342)="Y",TRIM(G342)="yes"),"Yes","No")</f>
        <v>Yes</v>
      </c>
      <c r="J342" s="1" t="str">
        <f>IF(OR(TRIM(I342)="Yes",TRIM(I342)="YES",TRIM(I342)="Y",TRIM(I342)="yes"),"Yes","No")</f>
        <v>No</v>
      </c>
      <c r="K342" s="1" t="s">
        <v>29</v>
      </c>
      <c r="L342" s="1" t="str">
        <f>IF(C342="","Yes","No")</f>
        <v>No</v>
      </c>
      <c r="M342" s="1">
        <f>IF(C342="", "", C342 - B342)</f>
        <v>15</v>
      </c>
      <c r="N342" s="3">
        <f>DATE(YEAR(B342),MONTH(B342),1)</f>
        <v>45717</v>
      </c>
      <c r="O342" s="2">
        <f>DATE(YEAR(B342),MONTH(B342),1)</f>
        <v>45717</v>
      </c>
    </row>
    <row r="343" spans="1:15" x14ac:dyDescent="0.2">
      <c r="A343" s="1" t="s">
        <v>55</v>
      </c>
      <c r="B343" s="3">
        <v>45658</v>
      </c>
      <c r="C343" s="3">
        <v>45670</v>
      </c>
      <c r="D343" s="1" t="s">
        <v>24</v>
      </c>
      <c r="E343" s="1" t="str">
        <f>UPPER(TRIM(D343))</f>
        <v>BILLING ISSUE</v>
      </c>
      <c r="F343" s="1" t="s">
        <v>21</v>
      </c>
      <c r="G343" s="1" t="s">
        <v>12</v>
      </c>
      <c r="H343" s="1" t="str">
        <f>IF(OR(TRIM(G343)="Yes",TRIM(G343)="YES",TRIM(G343)="Y",TRIM(G343)="yes"),"Yes","No")</f>
        <v>No</v>
      </c>
      <c r="I343" s="1" t="s">
        <v>16</v>
      </c>
      <c r="J343" s="1" t="str">
        <f>IF(OR(TRIM(I343)="Yes",TRIM(I343)="YES",TRIM(I343)="Y",TRIM(I343)="yes"),"Yes","No")</f>
        <v>No</v>
      </c>
      <c r="L343" s="1" t="str">
        <f>IF(C343="","Yes","No")</f>
        <v>No</v>
      </c>
      <c r="M343" s="1">
        <f>IF(C343="", "", C343 - B343)</f>
        <v>12</v>
      </c>
      <c r="N343" s="3">
        <f>DATE(YEAR(B343),MONTH(B343),1)</f>
        <v>45658</v>
      </c>
      <c r="O343" s="2">
        <f>DATE(YEAR(B343),MONTH(B343),1)</f>
        <v>45658</v>
      </c>
    </row>
    <row r="344" spans="1:15" x14ac:dyDescent="0.2">
      <c r="A344" s="1" t="s">
        <v>146</v>
      </c>
      <c r="B344" s="3">
        <v>45639</v>
      </c>
      <c r="D344" s="1" t="s">
        <v>7</v>
      </c>
      <c r="E344" s="1" t="str">
        <f>UPPER(TRIM(D344))</f>
        <v>BILLING ISSUE</v>
      </c>
      <c r="F344" s="1" t="s">
        <v>18</v>
      </c>
      <c r="G344" s="1" t="s">
        <v>0</v>
      </c>
      <c r="H344" s="1" t="str">
        <f>IF(OR(TRIM(G344)="Yes",TRIM(G344)="YES",TRIM(G344)="Y",TRIM(G344)="yes"),"Yes","No")</f>
        <v>Yes</v>
      </c>
      <c r="I344" s="1" t="s">
        <v>0</v>
      </c>
      <c r="J344" s="1" t="str">
        <f>IF(OR(TRIM(I344)="Yes",TRIM(I344)="YES",TRIM(I344)="Y",TRIM(I344)="yes"),"Yes","No")</f>
        <v>Yes</v>
      </c>
      <c r="K344" s="1" t="s">
        <v>5</v>
      </c>
      <c r="L344" s="1" t="str">
        <f>IF(C344="","Yes","No")</f>
        <v>Yes</v>
      </c>
      <c r="M344" s="1" t="str">
        <f>IF(C344="", "", C344 - B344)</f>
        <v/>
      </c>
      <c r="N344" s="3">
        <f>DATE(YEAR(B344),MONTH(B344),1)</f>
        <v>45627</v>
      </c>
      <c r="O344" s="2">
        <f>DATE(YEAR(B344),MONTH(B344),1)</f>
        <v>45627</v>
      </c>
    </row>
    <row r="345" spans="1:15" x14ac:dyDescent="0.2">
      <c r="A345" s="1" t="s">
        <v>145</v>
      </c>
      <c r="B345" s="3">
        <v>45581</v>
      </c>
      <c r="C345" s="3">
        <v>45601</v>
      </c>
      <c r="D345" s="1" t="s">
        <v>24</v>
      </c>
      <c r="E345" s="1" t="str">
        <f>UPPER(TRIM(D345))</f>
        <v>BILLING ISSUE</v>
      </c>
      <c r="F345" s="1" t="s">
        <v>21</v>
      </c>
      <c r="G345" s="1" t="s">
        <v>47</v>
      </c>
      <c r="H345" s="1" t="str">
        <f>IF(OR(TRIM(G345)="Yes",TRIM(G345)="YES",TRIM(G345)="Y",TRIM(G345)="yes"),"Yes","No")</f>
        <v>Yes</v>
      </c>
      <c r="I345" s="1" t="s">
        <v>1</v>
      </c>
      <c r="J345" s="1" t="str">
        <f>IF(OR(TRIM(I345)="Yes",TRIM(I345)="YES",TRIM(I345)="Y",TRIM(I345)="yes"),"Yes","No")</f>
        <v>Yes</v>
      </c>
      <c r="K345" s="1" t="s">
        <v>29</v>
      </c>
      <c r="L345" s="1" t="str">
        <f>IF(C345="","Yes","No")</f>
        <v>No</v>
      </c>
      <c r="M345" s="1">
        <f>IF(C345="", "", C345 - B345)</f>
        <v>20</v>
      </c>
      <c r="N345" s="3">
        <f>DATE(YEAR(B345),MONTH(B345),1)</f>
        <v>45566</v>
      </c>
      <c r="O345" s="2">
        <f>DATE(YEAR(B345),MONTH(B345),1)</f>
        <v>45566</v>
      </c>
    </row>
    <row r="346" spans="1:15" x14ac:dyDescent="0.2">
      <c r="A346" s="1" t="s">
        <v>144</v>
      </c>
      <c r="B346" s="3">
        <v>45606</v>
      </c>
      <c r="C346" s="3">
        <v>45609</v>
      </c>
      <c r="D346" s="1" t="s">
        <v>44</v>
      </c>
      <c r="E346" s="1" t="str">
        <f>UPPER(TRIM(D346))</f>
        <v>COMMUNICATION DELAY</v>
      </c>
      <c r="F346" s="1" t="s">
        <v>21</v>
      </c>
      <c r="G346" s="1" t="s">
        <v>16</v>
      </c>
      <c r="H346" s="1" t="str">
        <f>IF(OR(TRIM(G346)="Yes",TRIM(G346)="YES",TRIM(G346)="Y",TRIM(G346)="yes"),"Yes","No")</f>
        <v>No</v>
      </c>
      <c r="J346" s="1" t="str">
        <f>IF(OR(TRIM(I346)="Yes",TRIM(I346)="YES",TRIM(I346)="Y",TRIM(I346)="yes"),"Yes","No")</f>
        <v>No</v>
      </c>
      <c r="K346" s="1" t="s">
        <v>15</v>
      </c>
      <c r="L346" s="1" t="str">
        <f>IF(C346="","Yes","No")</f>
        <v>No</v>
      </c>
      <c r="M346" s="1">
        <f>IF(C346="", "", C346 - B346)</f>
        <v>3</v>
      </c>
      <c r="N346" s="3">
        <f>DATE(YEAR(B346),MONTH(B346),1)</f>
        <v>45597</v>
      </c>
      <c r="O346" s="2">
        <f>DATE(YEAR(B346),MONTH(B346),1)</f>
        <v>45597</v>
      </c>
    </row>
    <row r="347" spans="1:15" x14ac:dyDescent="0.2">
      <c r="A347" s="1" t="s">
        <v>143</v>
      </c>
      <c r="B347" s="3">
        <v>45711</v>
      </c>
      <c r="C347" s="3">
        <v>45730</v>
      </c>
      <c r="D347" s="1" t="s">
        <v>7</v>
      </c>
      <c r="E347" s="1" t="str">
        <f>UPPER(TRIM(D347))</f>
        <v>BILLING ISSUE</v>
      </c>
      <c r="F347" s="1" t="s">
        <v>2</v>
      </c>
      <c r="G347" s="1" t="s">
        <v>0</v>
      </c>
      <c r="H347" s="1" t="str">
        <f>IF(OR(TRIM(G347)="Yes",TRIM(G347)="YES",TRIM(G347)="Y",TRIM(G347)="yes"),"Yes","No")</f>
        <v>Yes</v>
      </c>
      <c r="J347" s="1" t="str">
        <f>IF(OR(TRIM(I347)="Yes",TRIM(I347)="YES",TRIM(I347)="Y",TRIM(I347)="yes"),"Yes","No")</f>
        <v>No</v>
      </c>
      <c r="K347" s="1" t="s">
        <v>5</v>
      </c>
      <c r="L347" s="1" t="str">
        <f>IF(C347="","Yes","No")</f>
        <v>No</v>
      </c>
      <c r="M347" s="1">
        <f>IF(C347="", "", C347 - B347)</f>
        <v>19</v>
      </c>
      <c r="N347" s="3">
        <f>DATE(YEAR(B347),MONTH(B347),1)</f>
        <v>45689</v>
      </c>
      <c r="O347" s="2">
        <f>DATE(YEAR(B347),MONTH(B347),1)</f>
        <v>45689</v>
      </c>
    </row>
    <row r="348" spans="1:15" x14ac:dyDescent="0.2">
      <c r="A348" s="1" t="s">
        <v>142</v>
      </c>
      <c r="B348" s="3">
        <v>45624</v>
      </c>
      <c r="C348" s="3">
        <v>45641</v>
      </c>
      <c r="D348" s="1" t="s">
        <v>33</v>
      </c>
      <c r="E348" s="1" t="str">
        <f>UPPER(TRIM(D348))</f>
        <v>POLICY UPDATE</v>
      </c>
      <c r="F348" s="1" t="s">
        <v>18</v>
      </c>
      <c r="G348" s="1" t="s">
        <v>16</v>
      </c>
      <c r="H348" s="1" t="str">
        <f>IF(OR(TRIM(G348)="Yes",TRIM(G348)="YES",TRIM(G348)="Y",TRIM(G348)="yes"),"Yes","No")</f>
        <v>No</v>
      </c>
      <c r="I348" s="1" t="s">
        <v>0</v>
      </c>
      <c r="J348" s="1" t="str">
        <f>IF(OR(TRIM(I348)="Yes",TRIM(I348)="YES",TRIM(I348)="Y",TRIM(I348)="yes"),"Yes","No")</f>
        <v>Yes</v>
      </c>
      <c r="L348" s="1" t="str">
        <f>IF(C348="","Yes","No")</f>
        <v>No</v>
      </c>
      <c r="M348" s="1">
        <f>IF(C348="", "", C348 - B348)</f>
        <v>17</v>
      </c>
      <c r="N348" s="3">
        <f>DATE(YEAR(B348),MONTH(B348),1)</f>
        <v>45597</v>
      </c>
      <c r="O348" s="2">
        <f>DATE(YEAR(B348),MONTH(B348),1)</f>
        <v>45597</v>
      </c>
    </row>
    <row r="349" spans="1:15" x14ac:dyDescent="0.2">
      <c r="A349" s="1" t="s">
        <v>141</v>
      </c>
      <c r="B349" s="3">
        <v>45673</v>
      </c>
      <c r="C349" s="3">
        <v>45690</v>
      </c>
      <c r="D349" s="1" t="s">
        <v>35</v>
      </c>
      <c r="E349" s="1" t="str">
        <f>UPPER(TRIM(D349))</f>
        <v>DOCUMENTATION ERROR</v>
      </c>
      <c r="F349" s="1" t="s">
        <v>6</v>
      </c>
      <c r="G349" s="1" t="s">
        <v>12</v>
      </c>
      <c r="H349" s="1" t="str">
        <f>IF(OR(TRIM(G349)="Yes",TRIM(G349)="YES",TRIM(G349)="Y",TRIM(G349)="yes"),"Yes","No")</f>
        <v>No</v>
      </c>
      <c r="I349" s="1" t="s">
        <v>16</v>
      </c>
      <c r="J349" s="1" t="str">
        <f>IF(OR(TRIM(I349)="Yes",TRIM(I349)="YES",TRIM(I349)="Y",TRIM(I349)="yes"),"Yes","No")</f>
        <v>No</v>
      </c>
      <c r="K349" s="1" t="s">
        <v>15</v>
      </c>
      <c r="L349" s="1" t="str">
        <f>IF(C349="","Yes","No")</f>
        <v>No</v>
      </c>
      <c r="M349" s="1">
        <f>IF(C349="", "", C349 - B349)</f>
        <v>17</v>
      </c>
      <c r="N349" s="3">
        <f>DATE(YEAR(B349),MONTH(B349),1)</f>
        <v>45658</v>
      </c>
      <c r="O349" s="2">
        <f>DATE(YEAR(B349),MONTH(B349),1)</f>
        <v>45658</v>
      </c>
    </row>
    <row r="350" spans="1:15" x14ac:dyDescent="0.2">
      <c r="A350" s="1" t="s">
        <v>81</v>
      </c>
      <c r="B350" s="3">
        <v>45593</v>
      </c>
      <c r="D350" s="1" t="s">
        <v>35</v>
      </c>
      <c r="E350" s="1" t="str">
        <f>UPPER(TRIM(D350))</f>
        <v>DOCUMENTATION ERROR</v>
      </c>
      <c r="F350" s="1" t="s">
        <v>2</v>
      </c>
      <c r="G350" s="1" t="s">
        <v>1</v>
      </c>
      <c r="H350" s="1" t="str">
        <f>IF(OR(TRIM(G350)="Yes",TRIM(G350)="YES",TRIM(G350)="Y",TRIM(G350)="yes"),"Yes","No")</f>
        <v>Yes</v>
      </c>
      <c r="J350" s="1" t="str">
        <f>IF(OR(TRIM(I350)="Yes",TRIM(I350)="YES",TRIM(I350)="Y",TRIM(I350)="yes"),"Yes","No")</f>
        <v>No</v>
      </c>
      <c r="K350" s="1" t="s">
        <v>5</v>
      </c>
      <c r="L350" s="1" t="str">
        <f>IF(C350="","Yes","No")</f>
        <v>Yes</v>
      </c>
      <c r="M350" s="1" t="str">
        <f>IF(C350="", "", C350 - B350)</f>
        <v/>
      </c>
      <c r="N350" s="3">
        <f>DATE(YEAR(B350),MONTH(B350),1)</f>
        <v>45566</v>
      </c>
      <c r="O350" s="2">
        <f>DATE(YEAR(B350),MONTH(B350),1)</f>
        <v>45566</v>
      </c>
    </row>
    <row r="351" spans="1:15" x14ac:dyDescent="0.2">
      <c r="A351" s="1" t="s">
        <v>25</v>
      </c>
      <c r="B351" s="3">
        <v>45759</v>
      </c>
      <c r="C351" s="3">
        <v>45766</v>
      </c>
      <c r="D351" s="1" t="s">
        <v>35</v>
      </c>
      <c r="E351" s="1" t="str">
        <f>UPPER(TRIM(D351))</f>
        <v>DOCUMENTATION ERROR</v>
      </c>
      <c r="F351" s="1" t="s">
        <v>18</v>
      </c>
      <c r="G351" s="1" t="s">
        <v>47</v>
      </c>
      <c r="H351" s="1" t="str">
        <f>IF(OR(TRIM(G351)="Yes",TRIM(G351)="YES",TRIM(G351)="Y",TRIM(G351)="yes"),"Yes","No")</f>
        <v>Yes</v>
      </c>
      <c r="I351" s="1" t="s">
        <v>1</v>
      </c>
      <c r="J351" s="1" t="str">
        <f>IF(OR(TRIM(I351)="Yes",TRIM(I351)="YES",TRIM(I351)="Y",TRIM(I351)="yes"),"Yes","No")</f>
        <v>Yes</v>
      </c>
      <c r="K351" s="1" t="s">
        <v>15</v>
      </c>
      <c r="L351" s="1" t="str">
        <f>IF(C351="","Yes","No")</f>
        <v>No</v>
      </c>
      <c r="M351" s="1">
        <f>IF(C351="", "", C351 - B351)</f>
        <v>7</v>
      </c>
      <c r="N351" s="3">
        <f>DATE(YEAR(B351),MONTH(B351),1)</f>
        <v>45748</v>
      </c>
      <c r="O351" s="2">
        <f>DATE(YEAR(B351),MONTH(B351),1)</f>
        <v>45748</v>
      </c>
    </row>
    <row r="352" spans="1:15" x14ac:dyDescent="0.2">
      <c r="A352" s="1" t="s">
        <v>140</v>
      </c>
      <c r="B352" s="3">
        <v>45616</v>
      </c>
      <c r="C352" s="3">
        <v>45630</v>
      </c>
      <c r="D352" s="1" t="s">
        <v>35</v>
      </c>
      <c r="E352" s="1" t="str">
        <f>UPPER(TRIM(D352))</f>
        <v>DOCUMENTATION ERROR</v>
      </c>
      <c r="G352" s="1" t="s">
        <v>9</v>
      </c>
      <c r="H352" s="1" t="str">
        <f>IF(OR(TRIM(G352)="Yes",TRIM(G352)="YES",TRIM(G352)="Y",TRIM(G352)="yes"),"Yes","No")</f>
        <v>No</v>
      </c>
      <c r="I352" s="1" t="s">
        <v>0</v>
      </c>
      <c r="J352" s="1" t="str">
        <f>IF(OR(TRIM(I352)="Yes",TRIM(I352)="YES",TRIM(I352)="Y",TRIM(I352)="yes"),"Yes","No")</f>
        <v>Yes</v>
      </c>
      <c r="L352" s="1" t="str">
        <f>IF(C352="","Yes","No")</f>
        <v>No</v>
      </c>
      <c r="M352" s="1">
        <f>IF(C352="", "", C352 - B352)</f>
        <v>14</v>
      </c>
      <c r="N352" s="3">
        <f>DATE(YEAR(B352),MONTH(B352),1)</f>
        <v>45597</v>
      </c>
      <c r="O352" s="2">
        <f>DATE(YEAR(B352),MONTH(B352),1)</f>
        <v>45597</v>
      </c>
    </row>
    <row r="353" spans="1:15" x14ac:dyDescent="0.2">
      <c r="A353" s="1" t="s">
        <v>112</v>
      </c>
      <c r="B353" s="3">
        <v>45714</v>
      </c>
      <c r="C353" s="3">
        <v>45727</v>
      </c>
      <c r="D353" s="1" t="s">
        <v>22</v>
      </c>
      <c r="E353" s="1" t="str">
        <f>UPPER(TRIM(D353))</f>
        <v>BILLING ISSUE</v>
      </c>
      <c r="G353" s="1" t="s">
        <v>0</v>
      </c>
      <c r="H353" s="1" t="str">
        <f>IF(OR(TRIM(G353)="Yes",TRIM(G353)="YES",TRIM(G353)="Y",TRIM(G353)="yes"),"Yes","No")</f>
        <v>Yes</v>
      </c>
      <c r="J353" s="1" t="str">
        <f>IF(OR(TRIM(I353)="Yes",TRIM(I353)="YES",TRIM(I353)="Y",TRIM(I353)="yes"),"Yes","No")</f>
        <v>No</v>
      </c>
      <c r="K353" s="1" t="s">
        <v>29</v>
      </c>
      <c r="L353" s="1" t="str">
        <f>IF(C353="","Yes","No")</f>
        <v>No</v>
      </c>
      <c r="M353" s="1">
        <f>IF(C353="", "", C353 - B353)</f>
        <v>13</v>
      </c>
      <c r="N353" s="3">
        <f>DATE(YEAR(B353),MONTH(B353),1)</f>
        <v>45689</v>
      </c>
      <c r="O353" s="2">
        <f>DATE(YEAR(B353),MONTH(B353),1)</f>
        <v>45689</v>
      </c>
    </row>
    <row r="354" spans="1:15" x14ac:dyDescent="0.2">
      <c r="A354" s="1" t="s">
        <v>139</v>
      </c>
      <c r="B354" s="3">
        <v>45610</v>
      </c>
      <c r="C354" s="3">
        <v>45627</v>
      </c>
      <c r="D354" s="1" t="s">
        <v>22</v>
      </c>
      <c r="E354" s="1" t="str">
        <f>UPPER(TRIM(D354))</f>
        <v>BILLING ISSUE</v>
      </c>
      <c r="F354" s="1" t="s">
        <v>21</v>
      </c>
      <c r="H354" s="1" t="str">
        <f>IF(OR(TRIM(G354)="Yes",TRIM(G354)="YES",TRIM(G354)="Y",TRIM(G354)="yes"),"Yes","No")</f>
        <v>No</v>
      </c>
      <c r="I354" s="1" t="s">
        <v>0</v>
      </c>
      <c r="J354" s="1" t="str">
        <f>IF(OR(TRIM(I354)="Yes",TRIM(I354)="YES",TRIM(I354)="Y",TRIM(I354)="yes"),"Yes","No")</f>
        <v>Yes</v>
      </c>
      <c r="L354" s="1" t="str">
        <f>IF(C354="","Yes","No")</f>
        <v>No</v>
      </c>
      <c r="M354" s="1">
        <f>IF(C354="", "", C354 - B354)</f>
        <v>17</v>
      </c>
      <c r="N354" s="3">
        <f>DATE(YEAR(B354),MONTH(B354),1)</f>
        <v>45597</v>
      </c>
      <c r="O354" s="2">
        <f>DATE(YEAR(B354),MONTH(B354),1)</f>
        <v>45597</v>
      </c>
    </row>
    <row r="355" spans="1:15" x14ac:dyDescent="0.2">
      <c r="A355" s="1" t="s">
        <v>138</v>
      </c>
      <c r="B355" s="3">
        <v>45747</v>
      </c>
      <c r="C355" s="3">
        <v>45763</v>
      </c>
      <c r="D355" s="1" t="s">
        <v>22</v>
      </c>
      <c r="E355" s="1" t="str">
        <f>UPPER(TRIM(D355))</f>
        <v>BILLING ISSUE</v>
      </c>
      <c r="F355" s="1" t="s">
        <v>18</v>
      </c>
      <c r="G355" s="1" t="s">
        <v>16</v>
      </c>
      <c r="H355" s="1" t="str">
        <f>IF(OR(TRIM(G355)="Yes",TRIM(G355)="YES",TRIM(G355)="Y",TRIM(G355)="yes"),"Yes","No")</f>
        <v>No</v>
      </c>
      <c r="J355" s="1" t="str">
        <f>IF(OR(TRIM(I355)="Yes",TRIM(I355)="YES",TRIM(I355)="Y",TRIM(I355)="yes"),"Yes","No")</f>
        <v>No</v>
      </c>
      <c r="L355" s="1" t="str">
        <f>IF(C355="","Yes","No")</f>
        <v>No</v>
      </c>
      <c r="M355" s="1">
        <f>IF(C355="", "", C355 - B355)</f>
        <v>16</v>
      </c>
      <c r="N355" s="3">
        <f>DATE(YEAR(B355),MONTH(B355),1)</f>
        <v>45717</v>
      </c>
      <c r="O355" s="2">
        <f>DATE(YEAR(B355),MONTH(B355),1)</f>
        <v>45717</v>
      </c>
    </row>
    <row r="356" spans="1:15" x14ac:dyDescent="0.2">
      <c r="A356" s="1" t="s">
        <v>20</v>
      </c>
      <c r="B356" s="3">
        <v>45670</v>
      </c>
      <c r="D356" s="1" t="s">
        <v>19</v>
      </c>
      <c r="E356" s="1" t="str">
        <f>UPPER(TRIM(D356))</f>
        <v>DOC ERROR</v>
      </c>
      <c r="G356" s="1" t="s">
        <v>0</v>
      </c>
      <c r="H356" s="1" t="str">
        <f>IF(OR(TRIM(G356)="Yes",TRIM(G356)="YES",TRIM(G356)="Y",TRIM(G356)="yes"),"Yes","No")</f>
        <v>Yes</v>
      </c>
      <c r="J356" s="1" t="str">
        <f>IF(OR(TRIM(I356)="Yes",TRIM(I356)="YES",TRIM(I356)="Y",TRIM(I356)="yes"),"Yes","No")</f>
        <v>No</v>
      </c>
      <c r="K356" s="1" t="s">
        <v>5</v>
      </c>
      <c r="L356" s="1" t="str">
        <f>IF(C356="","Yes","No")</f>
        <v>Yes</v>
      </c>
      <c r="M356" s="1" t="str">
        <f>IF(C356="", "", C356 - B356)</f>
        <v/>
      </c>
      <c r="N356" s="3">
        <f>DATE(YEAR(B356),MONTH(B356),1)</f>
        <v>45658</v>
      </c>
      <c r="O356" s="2">
        <f>DATE(YEAR(B356),MONTH(B356),1)</f>
        <v>45658</v>
      </c>
    </row>
    <row r="357" spans="1:15" x14ac:dyDescent="0.2">
      <c r="A357" s="1" t="s">
        <v>115</v>
      </c>
      <c r="B357" s="3">
        <v>45716</v>
      </c>
      <c r="C357" s="3">
        <v>45728</v>
      </c>
      <c r="D357" s="1" t="s">
        <v>33</v>
      </c>
      <c r="E357" s="1" t="str">
        <f>UPPER(TRIM(D357))</f>
        <v>POLICY UPDATE</v>
      </c>
      <c r="F357" s="1" t="s">
        <v>21</v>
      </c>
      <c r="G357" s="1" t="s">
        <v>47</v>
      </c>
      <c r="H357" s="1" t="str">
        <f>IF(OR(TRIM(G357)="Yes",TRIM(G357)="YES",TRIM(G357)="Y",TRIM(G357)="yes"),"Yes","No")</f>
        <v>Yes</v>
      </c>
      <c r="I357" s="1" t="s">
        <v>16</v>
      </c>
      <c r="J357" s="1" t="str">
        <f>IF(OR(TRIM(I357)="Yes",TRIM(I357)="YES",TRIM(I357)="Y",TRIM(I357)="yes"),"Yes","No")</f>
        <v>No</v>
      </c>
      <c r="K357" s="1" t="s">
        <v>15</v>
      </c>
      <c r="L357" s="1" t="str">
        <f>IF(C357="","Yes","No")</f>
        <v>No</v>
      </c>
      <c r="M357" s="1">
        <f>IF(C357="", "", C357 - B357)</f>
        <v>12</v>
      </c>
      <c r="N357" s="3">
        <f>DATE(YEAR(B357),MONTH(B357),1)</f>
        <v>45689</v>
      </c>
      <c r="O357" s="2">
        <f>DATE(YEAR(B357),MONTH(B357),1)</f>
        <v>45689</v>
      </c>
    </row>
    <row r="358" spans="1:15" x14ac:dyDescent="0.2">
      <c r="A358" s="1" t="s">
        <v>113</v>
      </c>
      <c r="B358" s="3">
        <v>45732</v>
      </c>
      <c r="C358" s="3">
        <v>45741</v>
      </c>
      <c r="D358" s="1" t="s">
        <v>24</v>
      </c>
      <c r="E358" s="1" t="str">
        <f>UPPER(TRIM(D358))</f>
        <v>BILLING ISSUE</v>
      </c>
      <c r="G358" s="1" t="s">
        <v>12</v>
      </c>
      <c r="H358" s="1" t="str">
        <f>IF(OR(TRIM(G358)="Yes",TRIM(G358)="YES",TRIM(G358)="Y",TRIM(G358)="yes"),"Yes","No")</f>
        <v>No</v>
      </c>
      <c r="J358" s="1" t="str">
        <f>IF(OR(TRIM(I358)="Yes",TRIM(I358)="YES",TRIM(I358)="Y",TRIM(I358)="yes"),"Yes","No")</f>
        <v>No</v>
      </c>
      <c r="K358" s="1" t="s">
        <v>5</v>
      </c>
      <c r="L358" s="1" t="str">
        <f>IF(C358="","Yes","No")</f>
        <v>No</v>
      </c>
      <c r="M358" s="1">
        <f>IF(C358="", "", C358 - B358)</f>
        <v>9</v>
      </c>
      <c r="N358" s="3">
        <f>DATE(YEAR(B358),MONTH(B358),1)</f>
        <v>45717</v>
      </c>
      <c r="O358" s="2">
        <f>DATE(YEAR(B358),MONTH(B358),1)</f>
        <v>45717</v>
      </c>
    </row>
    <row r="359" spans="1:15" x14ac:dyDescent="0.2">
      <c r="A359" s="1" t="s">
        <v>137</v>
      </c>
      <c r="B359" s="3">
        <v>45756</v>
      </c>
      <c r="C359" s="3">
        <v>45758</v>
      </c>
      <c r="D359" s="1" t="s">
        <v>3</v>
      </c>
      <c r="E359" s="1" t="str">
        <f>UPPER(TRIM(D359))</f>
        <v>COMMUNICATION DELAY</v>
      </c>
      <c r="F359" s="1" t="s">
        <v>2</v>
      </c>
      <c r="H359" s="1" t="str">
        <f>IF(OR(TRIM(G359)="Yes",TRIM(G359)="YES",TRIM(G359)="Y",TRIM(G359)="yes"),"Yes","No")</f>
        <v>No</v>
      </c>
      <c r="J359" s="1" t="str">
        <f>IF(OR(TRIM(I359)="Yes",TRIM(I359)="YES",TRIM(I359)="Y",TRIM(I359)="yes"),"Yes","No")</f>
        <v>No</v>
      </c>
      <c r="K359" s="1" t="s">
        <v>29</v>
      </c>
      <c r="L359" s="1" t="str">
        <f>IF(C359="","Yes","No")</f>
        <v>No</v>
      </c>
      <c r="M359" s="1">
        <f>IF(C359="", "", C359 - B359)</f>
        <v>2</v>
      </c>
      <c r="N359" s="3">
        <f>DATE(YEAR(B359),MONTH(B359),1)</f>
        <v>45748</v>
      </c>
      <c r="O359" s="2">
        <f>DATE(YEAR(B359),MONTH(B359),1)</f>
        <v>45748</v>
      </c>
    </row>
    <row r="360" spans="1:15" x14ac:dyDescent="0.2">
      <c r="A360" s="1" t="s">
        <v>136</v>
      </c>
      <c r="B360" s="3">
        <v>45615</v>
      </c>
      <c r="C360" s="3">
        <v>45623</v>
      </c>
      <c r="D360" s="1" t="s">
        <v>22</v>
      </c>
      <c r="E360" s="1" t="str">
        <f>UPPER(TRIM(D360))</f>
        <v>BILLING ISSUE</v>
      </c>
      <c r="F360" s="1" t="s">
        <v>2</v>
      </c>
      <c r="G360" s="1" t="s">
        <v>47</v>
      </c>
      <c r="H360" s="1" t="str">
        <f>IF(OR(TRIM(G360)="Yes",TRIM(G360)="YES",TRIM(G360)="Y",TRIM(G360)="yes"),"Yes","No")</f>
        <v>Yes</v>
      </c>
      <c r="I360" s="1" t="s">
        <v>1</v>
      </c>
      <c r="J360" s="1" t="str">
        <f>IF(OR(TRIM(I360)="Yes",TRIM(I360)="YES",TRIM(I360)="Y",TRIM(I360)="yes"),"Yes","No")</f>
        <v>Yes</v>
      </c>
      <c r="K360" s="1" t="s">
        <v>29</v>
      </c>
      <c r="L360" s="1" t="str">
        <f>IF(C360="","Yes","No")</f>
        <v>No</v>
      </c>
      <c r="M360" s="1">
        <f>IF(C360="", "", C360 - B360)</f>
        <v>8</v>
      </c>
      <c r="N360" s="3">
        <f>DATE(YEAR(B360),MONTH(B360),1)</f>
        <v>45597</v>
      </c>
      <c r="O360" s="2">
        <f>DATE(YEAR(B360),MONTH(B360),1)</f>
        <v>45597</v>
      </c>
    </row>
    <row r="361" spans="1:15" x14ac:dyDescent="0.2">
      <c r="A361" s="1" t="s">
        <v>135</v>
      </c>
      <c r="B361" s="3">
        <v>45618</v>
      </c>
      <c r="C361" s="3">
        <v>45636</v>
      </c>
      <c r="D361" s="1" t="s">
        <v>27</v>
      </c>
      <c r="E361" s="1" t="str">
        <f>UPPER(TRIM(D361))</f>
        <v>SERVICE DELAY</v>
      </c>
      <c r="F361" s="1" t="s">
        <v>21</v>
      </c>
      <c r="G361" s="1" t="s">
        <v>16</v>
      </c>
      <c r="H361" s="1" t="str">
        <f>IF(OR(TRIM(G361)="Yes",TRIM(G361)="YES",TRIM(G361)="Y",TRIM(G361)="yes"),"Yes","No")</f>
        <v>No</v>
      </c>
      <c r="I361" s="1" t="s">
        <v>16</v>
      </c>
      <c r="J361" s="1" t="str">
        <f>IF(OR(TRIM(I361)="Yes",TRIM(I361)="YES",TRIM(I361)="Y",TRIM(I361)="yes"),"Yes","No")</f>
        <v>No</v>
      </c>
      <c r="K361" s="1" t="s">
        <v>29</v>
      </c>
      <c r="L361" s="1" t="str">
        <f>IF(C361="","Yes","No")</f>
        <v>No</v>
      </c>
      <c r="M361" s="1">
        <f>IF(C361="", "", C361 - B361)</f>
        <v>18</v>
      </c>
      <c r="N361" s="3">
        <f>DATE(YEAR(B361),MONTH(B361),1)</f>
        <v>45597</v>
      </c>
      <c r="O361" s="2">
        <f>DATE(YEAR(B361),MONTH(B361),1)</f>
        <v>45597</v>
      </c>
    </row>
    <row r="362" spans="1:15" x14ac:dyDescent="0.2">
      <c r="A362" s="1" t="s">
        <v>134</v>
      </c>
      <c r="B362" s="3">
        <v>45612</v>
      </c>
      <c r="C362" s="3">
        <v>45625</v>
      </c>
      <c r="D362" s="1" t="s">
        <v>27</v>
      </c>
      <c r="E362" s="1" t="str">
        <f>UPPER(TRIM(D362))</f>
        <v>SERVICE DELAY</v>
      </c>
      <c r="F362" s="1" t="s">
        <v>18</v>
      </c>
      <c r="G362" s="1" t="s">
        <v>47</v>
      </c>
      <c r="H362" s="1" t="str">
        <f>IF(OR(TRIM(G362)="Yes",TRIM(G362)="YES",TRIM(G362)="Y",TRIM(G362)="yes"),"Yes","No")</f>
        <v>Yes</v>
      </c>
      <c r="I362" s="1" t="s">
        <v>0</v>
      </c>
      <c r="J362" s="1" t="str">
        <f>IF(OR(TRIM(I362)="Yes",TRIM(I362)="YES",TRIM(I362)="Y",TRIM(I362)="yes"),"Yes","No")</f>
        <v>Yes</v>
      </c>
      <c r="L362" s="1" t="str">
        <f>IF(C362="","Yes","No")</f>
        <v>No</v>
      </c>
      <c r="M362" s="1">
        <f>IF(C362="", "", C362 - B362)</f>
        <v>13</v>
      </c>
      <c r="N362" s="3">
        <f>DATE(YEAR(B362),MONTH(B362),1)</f>
        <v>45597</v>
      </c>
      <c r="O362" s="2">
        <f>DATE(YEAR(B362),MONTH(B362),1)</f>
        <v>45597</v>
      </c>
    </row>
    <row r="363" spans="1:15" x14ac:dyDescent="0.2">
      <c r="A363" s="1" t="s">
        <v>8</v>
      </c>
      <c r="B363" s="3">
        <v>45693</v>
      </c>
      <c r="C363" s="3">
        <v>45711</v>
      </c>
      <c r="D363" s="1" t="s">
        <v>33</v>
      </c>
      <c r="E363" s="1" t="str">
        <f>UPPER(TRIM(D363))</f>
        <v>POLICY UPDATE</v>
      </c>
      <c r="F363" s="1" t="s">
        <v>2</v>
      </c>
      <c r="G363" s="1" t="s">
        <v>47</v>
      </c>
      <c r="H363" s="1" t="str">
        <f>IF(OR(TRIM(G363)="Yes",TRIM(G363)="YES",TRIM(G363)="Y",TRIM(G363)="yes"),"Yes","No")</f>
        <v>Yes</v>
      </c>
      <c r="I363" s="1" t="s">
        <v>16</v>
      </c>
      <c r="J363" s="1" t="str">
        <f>IF(OR(TRIM(I363)="Yes",TRIM(I363)="YES",TRIM(I363)="Y",TRIM(I363)="yes"),"Yes","No")</f>
        <v>No</v>
      </c>
      <c r="K363" s="1" t="s">
        <v>29</v>
      </c>
      <c r="L363" s="1" t="str">
        <f>IF(C363="","Yes","No")</f>
        <v>No</v>
      </c>
      <c r="M363" s="1">
        <f>IF(C363="", "", C363 - B363)</f>
        <v>18</v>
      </c>
      <c r="N363" s="3">
        <f>DATE(YEAR(B363),MONTH(B363),1)</f>
        <v>45689</v>
      </c>
      <c r="O363" s="2">
        <f>DATE(YEAR(B363),MONTH(B363),1)</f>
        <v>45689</v>
      </c>
    </row>
    <row r="364" spans="1:15" x14ac:dyDescent="0.2">
      <c r="A364" s="1" t="s">
        <v>133</v>
      </c>
      <c r="B364" s="3">
        <v>45628</v>
      </c>
      <c r="C364" s="3">
        <v>45640</v>
      </c>
      <c r="D364" s="1" t="s">
        <v>24</v>
      </c>
      <c r="E364" s="1" t="str">
        <f>UPPER(TRIM(D364))</f>
        <v>BILLING ISSUE</v>
      </c>
      <c r="H364" s="1" t="str">
        <f>IF(OR(TRIM(G364)="Yes",TRIM(G364)="YES",TRIM(G364)="Y",TRIM(G364)="yes"),"Yes","No")</f>
        <v>No</v>
      </c>
      <c r="I364" s="1" t="s">
        <v>0</v>
      </c>
      <c r="J364" s="1" t="str">
        <f>IF(OR(TRIM(I364)="Yes",TRIM(I364)="YES",TRIM(I364)="Y",TRIM(I364)="yes"),"Yes","No")</f>
        <v>Yes</v>
      </c>
      <c r="K364" s="1" t="s">
        <v>15</v>
      </c>
      <c r="L364" s="1" t="str">
        <f>IF(C364="","Yes","No")</f>
        <v>No</v>
      </c>
      <c r="M364" s="1">
        <f>IF(C364="", "", C364 - B364)</f>
        <v>12</v>
      </c>
      <c r="N364" s="3">
        <f>DATE(YEAR(B364),MONTH(B364),1)</f>
        <v>45627</v>
      </c>
      <c r="O364" s="2">
        <f>DATE(YEAR(B364),MONTH(B364),1)</f>
        <v>45627</v>
      </c>
    </row>
    <row r="365" spans="1:15" x14ac:dyDescent="0.2">
      <c r="A365" s="1" t="s">
        <v>132</v>
      </c>
      <c r="B365" s="3">
        <v>45694</v>
      </c>
      <c r="C365" s="3">
        <v>45701</v>
      </c>
      <c r="D365" s="1" t="s">
        <v>35</v>
      </c>
      <c r="E365" s="1" t="str">
        <f>UPPER(TRIM(D365))</f>
        <v>DOCUMENTATION ERROR</v>
      </c>
      <c r="F365" s="1" t="s">
        <v>6</v>
      </c>
      <c r="G365" s="1" t="s">
        <v>16</v>
      </c>
      <c r="H365" s="1" t="str">
        <f>IF(OR(TRIM(G365)="Yes",TRIM(G365)="YES",TRIM(G365)="Y",TRIM(G365)="yes"),"Yes","No")</f>
        <v>No</v>
      </c>
      <c r="I365" s="1" t="s">
        <v>1</v>
      </c>
      <c r="J365" s="1" t="str">
        <f>IF(OR(TRIM(I365)="Yes",TRIM(I365)="YES",TRIM(I365)="Y",TRIM(I365)="yes"),"Yes","No")</f>
        <v>Yes</v>
      </c>
      <c r="K365" s="1" t="s">
        <v>29</v>
      </c>
      <c r="L365" s="1" t="str">
        <f>IF(C365="","Yes","No")</f>
        <v>No</v>
      </c>
      <c r="M365" s="1">
        <f>IF(C365="", "", C365 - B365)</f>
        <v>7</v>
      </c>
      <c r="N365" s="3">
        <f>DATE(YEAR(B365),MONTH(B365),1)</f>
        <v>45689</v>
      </c>
      <c r="O365" s="2">
        <f>DATE(YEAR(B365),MONTH(B365),1)</f>
        <v>45689</v>
      </c>
    </row>
    <row r="366" spans="1:15" x14ac:dyDescent="0.2">
      <c r="A366" s="1" t="s">
        <v>131</v>
      </c>
      <c r="B366" s="3">
        <v>45642</v>
      </c>
      <c r="C366" s="3">
        <v>45645</v>
      </c>
      <c r="D366" s="1" t="s">
        <v>10</v>
      </c>
      <c r="E366" s="1" t="str">
        <f>UPPER(TRIM(D366))</f>
        <v>POLICY UPDATE</v>
      </c>
      <c r="F366" s="1" t="s">
        <v>18</v>
      </c>
      <c r="G366" s="1" t="s">
        <v>1</v>
      </c>
      <c r="H366" s="1" t="str">
        <f>IF(OR(TRIM(G366)="Yes",TRIM(G366)="YES",TRIM(G366)="Y",TRIM(G366)="yes"),"Yes","No")</f>
        <v>Yes</v>
      </c>
      <c r="J366" s="1" t="str">
        <f>IF(OR(TRIM(I366)="Yes",TRIM(I366)="YES",TRIM(I366)="Y",TRIM(I366)="yes"),"Yes","No")</f>
        <v>No</v>
      </c>
      <c r="K366" s="1" t="s">
        <v>15</v>
      </c>
      <c r="L366" s="1" t="str">
        <f>IF(C366="","Yes","No")</f>
        <v>No</v>
      </c>
      <c r="M366" s="1">
        <f>IF(C366="", "", C366 - B366)</f>
        <v>3</v>
      </c>
      <c r="N366" s="3">
        <f>DATE(YEAR(B366),MONTH(B366),1)</f>
        <v>45627</v>
      </c>
      <c r="O366" s="2">
        <f>DATE(YEAR(B366),MONTH(B366),1)</f>
        <v>45627</v>
      </c>
    </row>
    <row r="367" spans="1:15" x14ac:dyDescent="0.2">
      <c r="A367" s="1" t="s">
        <v>130</v>
      </c>
      <c r="B367" s="3">
        <v>45647</v>
      </c>
      <c r="C367" s="3">
        <v>45664</v>
      </c>
      <c r="D367" s="1" t="s">
        <v>33</v>
      </c>
      <c r="E367" s="1" t="str">
        <f>UPPER(TRIM(D367))</f>
        <v>POLICY UPDATE</v>
      </c>
      <c r="F367" s="1" t="s">
        <v>18</v>
      </c>
      <c r="G367" s="1" t="s">
        <v>16</v>
      </c>
      <c r="H367" s="1" t="str">
        <f>IF(OR(TRIM(G367)="Yes",TRIM(G367)="YES",TRIM(G367)="Y",TRIM(G367)="yes"),"Yes","No")</f>
        <v>No</v>
      </c>
      <c r="I367" s="1" t="s">
        <v>9</v>
      </c>
      <c r="J367" s="1" t="str">
        <f>IF(OR(TRIM(I367)="Yes",TRIM(I367)="YES",TRIM(I367)="Y",TRIM(I367)="yes"),"Yes","No")</f>
        <v>No</v>
      </c>
      <c r="L367" s="1" t="str">
        <f>IF(C367="","Yes","No")</f>
        <v>No</v>
      </c>
      <c r="M367" s="1">
        <f>IF(C367="", "", C367 - B367)</f>
        <v>17</v>
      </c>
      <c r="N367" s="3">
        <f>DATE(YEAR(B367),MONTH(B367),1)</f>
        <v>45627</v>
      </c>
      <c r="O367" s="2">
        <f>DATE(YEAR(B367),MONTH(B367),1)</f>
        <v>45627</v>
      </c>
    </row>
    <row r="368" spans="1:15" x14ac:dyDescent="0.2">
      <c r="A368" s="1" t="s">
        <v>129</v>
      </c>
      <c r="B368" s="3">
        <v>45630</v>
      </c>
      <c r="C368" s="3">
        <v>45639</v>
      </c>
      <c r="D368" s="1" t="s">
        <v>7</v>
      </c>
      <c r="E368" s="1" t="str">
        <f>UPPER(TRIM(D368))</f>
        <v>BILLING ISSUE</v>
      </c>
      <c r="F368" s="1" t="s">
        <v>6</v>
      </c>
      <c r="G368" s="1" t="s">
        <v>12</v>
      </c>
      <c r="H368" s="1" t="str">
        <f>IF(OR(TRIM(G368)="Yes",TRIM(G368)="YES",TRIM(G368)="Y",TRIM(G368)="yes"),"Yes","No")</f>
        <v>No</v>
      </c>
      <c r="I368" s="1" t="s">
        <v>16</v>
      </c>
      <c r="J368" s="1" t="str">
        <f>IF(OR(TRIM(I368)="Yes",TRIM(I368)="YES",TRIM(I368)="Y",TRIM(I368)="yes"),"Yes","No")</f>
        <v>No</v>
      </c>
      <c r="L368" s="1" t="str">
        <f>IF(C368="","Yes","No")</f>
        <v>No</v>
      </c>
      <c r="M368" s="1">
        <f>IF(C368="", "", C368 - B368)</f>
        <v>9</v>
      </c>
      <c r="N368" s="3">
        <f>DATE(YEAR(B368),MONTH(B368),1)</f>
        <v>45627</v>
      </c>
      <c r="O368" s="2">
        <f>DATE(YEAR(B368),MONTH(B368),1)</f>
        <v>45627</v>
      </c>
    </row>
    <row r="369" spans="1:15" x14ac:dyDescent="0.2">
      <c r="A369" s="1" t="s">
        <v>128</v>
      </c>
      <c r="B369" s="3">
        <v>45589</v>
      </c>
      <c r="D369" s="1" t="s">
        <v>19</v>
      </c>
      <c r="E369" s="1" t="str">
        <f>UPPER(TRIM(D369))</f>
        <v>DOC ERROR</v>
      </c>
      <c r="F369" s="1" t="s">
        <v>21</v>
      </c>
      <c r="G369" s="1" t="s">
        <v>0</v>
      </c>
      <c r="H369" s="1" t="str">
        <f>IF(OR(TRIM(G369)="Yes",TRIM(G369)="YES",TRIM(G369)="Y",TRIM(G369)="yes"),"Yes","No")</f>
        <v>Yes</v>
      </c>
      <c r="I369" s="1" t="s">
        <v>9</v>
      </c>
      <c r="J369" s="1" t="str">
        <f>IF(OR(TRIM(I369)="Yes",TRIM(I369)="YES",TRIM(I369)="Y",TRIM(I369)="yes"),"Yes","No")</f>
        <v>No</v>
      </c>
      <c r="K369" s="1" t="s">
        <v>15</v>
      </c>
      <c r="L369" s="1" t="str">
        <f>IF(C369="","Yes","No")</f>
        <v>Yes</v>
      </c>
      <c r="M369" s="1" t="str">
        <f>IF(C369="", "", C369 - B369)</f>
        <v/>
      </c>
      <c r="N369" s="3">
        <f>DATE(YEAR(B369),MONTH(B369),1)</f>
        <v>45566</v>
      </c>
      <c r="O369" s="2">
        <f>DATE(YEAR(B369),MONTH(B369),1)</f>
        <v>45566</v>
      </c>
    </row>
    <row r="370" spans="1:15" x14ac:dyDescent="0.2">
      <c r="A370" s="1" t="s">
        <v>127</v>
      </c>
      <c r="B370" s="3">
        <v>45610</v>
      </c>
      <c r="C370" s="3">
        <v>45615</v>
      </c>
      <c r="D370" s="1" t="s">
        <v>7</v>
      </c>
      <c r="E370" s="1" t="str">
        <f>UPPER(TRIM(D370))</f>
        <v>BILLING ISSUE</v>
      </c>
      <c r="F370" s="1" t="s">
        <v>18</v>
      </c>
      <c r="G370" s="1" t="s">
        <v>0</v>
      </c>
      <c r="H370" s="1" t="str">
        <f>IF(OR(TRIM(G370)="Yes",TRIM(G370)="YES",TRIM(G370)="Y",TRIM(G370)="yes"),"Yes","No")</f>
        <v>Yes</v>
      </c>
      <c r="I370" s="1" t="s">
        <v>1</v>
      </c>
      <c r="J370" s="1" t="str">
        <f>IF(OR(TRIM(I370)="Yes",TRIM(I370)="YES",TRIM(I370)="Y",TRIM(I370)="yes"),"Yes","No")</f>
        <v>Yes</v>
      </c>
      <c r="L370" s="1" t="str">
        <f>IF(C370="","Yes","No")</f>
        <v>No</v>
      </c>
      <c r="M370" s="1">
        <f>IF(C370="", "", C370 - B370)</f>
        <v>5</v>
      </c>
      <c r="N370" s="3">
        <f>DATE(YEAR(B370),MONTH(B370),1)</f>
        <v>45597</v>
      </c>
      <c r="O370" s="2">
        <f>DATE(YEAR(B370),MONTH(B370),1)</f>
        <v>45597</v>
      </c>
    </row>
    <row r="371" spans="1:15" x14ac:dyDescent="0.2">
      <c r="A371" s="1" t="s">
        <v>126</v>
      </c>
      <c r="B371" s="3">
        <v>45679</v>
      </c>
      <c r="C371" s="3">
        <v>45694</v>
      </c>
      <c r="D371" s="1" t="s">
        <v>19</v>
      </c>
      <c r="E371" s="1" t="str">
        <f>UPPER(TRIM(D371))</f>
        <v>DOC ERROR</v>
      </c>
      <c r="F371" s="1" t="s">
        <v>2</v>
      </c>
      <c r="G371" s="1" t="s">
        <v>47</v>
      </c>
      <c r="H371" s="1" t="str">
        <f>IF(OR(TRIM(G371)="Yes",TRIM(G371)="YES",TRIM(G371)="Y",TRIM(G371)="yes"),"Yes","No")</f>
        <v>Yes</v>
      </c>
      <c r="I371" s="1" t="s">
        <v>0</v>
      </c>
      <c r="J371" s="1" t="str">
        <f>IF(OR(TRIM(I371)="Yes",TRIM(I371)="YES",TRIM(I371)="Y",TRIM(I371)="yes"),"Yes","No")</f>
        <v>Yes</v>
      </c>
      <c r="L371" s="1" t="str">
        <f>IF(C371="","Yes","No")</f>
        <v>No</v>
      </c>
      <c r="M371" s="1">
        <f>IF(C371="", "", C371 - B371)</f>
        <v>15</v>
      </c>
      <c r="N371" s="3">
        <f>DATE(YEAR(B371),MONTH(B371),1)</f>
        <v>45658</v>
      </c>
      <c r="O371" s="2">
        <f>DATE(YEAR(B371),MONTH(B371),1)</f>
        <v>45658</v>
      </c>
    </row>
    <row r="372" spans="1:15" x14ac:dyDescent="0.2">
      <c r="A372" s="1" t="s">
        <v>125</v>
      </c>
      <c r="B372" s="3">
        <v>45581</v>
      </c>
      <c r="C372" s="3">
        <v>45586</v>
      </c>
      <c r="D372" s="1" t="s">
        <v>24</v>
      </c>
      <c r="E372" s="1" t="str">
        <f>UPPER(TRIM(D372))</f>
        <v>BILLING ISSUE</v>
      </c>
      <c r="F372" s="1" t="s">
        <v>18</v>
      </c>
      <c r="G372" s="1" t="s">
        <v>9</v>
      </c>
      <c r="H372" s="1" t="str">
        <f>IF(OR(TRIM(G372)="Yes",TRIM(G372)="YES",TRIM(G372)="Y",TRIM(G372)="yes"),"Yes","No")</f>
        <v>No</v>
      </c>
      <c r="J372" s="1" t="str">
        <f>IF(OR(TRIM(I372)="Yes",TRIM(I372)="YES",TRIM(I372)="Y",TRIM(I372)="yes"),"Yes","No")</f>
        <v>No</v>
      </c>
      <c r="K372" s="1" t="s">
        <v>15</v>
      </c>
      <c r="L372" s="1" t="str">
        <f>IF(C372="","Yes","No")</f>
        <v>No</v>
      </c>
      <c r="M372" s="1">
        <f>IF(C372="", "", C372 - B372)</f>
        <v>5</v>
      </c>
      <c r="N372" s="3">
        <f>DATE(YEAR(B372),MONTH(B372),1)</f>
        <v>45566</v>
      </c>
      <c r="O372" s="2">
        <f>DATE(YEAR(B372),MONTH(B372),1)</f>
        <v>45566</v>
      </c>
    </row>
    <row r="373" spans="1:15" x14ac:dyDescent="0.2">
      <c r="A373" s="1" t="s">
        <v>124</v>
      </c>
      <c r="B373" s="3">
        <v>45604</v>
      </c>
      <c r="C373" s="3">
        <v>45623</v>
      </c>
      <c r="D373" s="1" t="s">
        <v>7</v>
      </c>
      <c r="E373" s="1" t="str">
        <f>UPPER(TRIM(D373))</f>
        <v>BILLING ISSUE</v>
      </c>
      <c r="G373" s="1" t="s">
        <v>1</v>
      </c>
      <c r="H373" s="1" t="str">
        <f>IF(OR(TRIM(G373)="Yes",TRIM(G373)="YES",TRIM(G373)="Y",TRIM(G373)="yes"),"Yes","No")</f>
        <v>Yes</v>
      </c>
      <c r="J373" s="1" t="str">
        <f>IF(OR(TRIM(I373)="Yes",TRIM(I373)="YES",TRIM(I373)="Y",TRIM(I373)="yes"),"Yes","No")</f>
        <v>No</v>
      </c>
      <c r="K373" s="1" t="s">
        <v>15</v>
      </c>
      <c r="L373" s="1" t="str">
        <f>IF(C373="","Yes","No")</f>
        <v>No</v>
      </c>
      <c r="M373" s="1">
        <f>IF(C373="", "", C373 - B373)</f>
        <v>19</v>
      </c>
      <c r="N373" s="3">
        <f>DATE(YEAR(B373),MONTH(B373),1)</f>
        <v>45597</v>
      </c>
      <c r="O373" s="2">
        <f>DATE(YEAR(B373),MONTH(B373),1)</f>
        <v>45597</v>
      </c>
    </row>
    <row r="374" spans="1:15" x14ac:dyDescent="0.2">
      <c r="A374" s="1" t="s">
        <v>123</v>
      </c>
      <c r="B374" s="3">
        <v>45652</v>
      </c>
      <c r="C374" s="3">
        <v>45663</v>
      </c>
      <c r="D374" s="1" t="s">
        <v>3</v>
      </c>
      <c r="E374" s="1" t="str">
        <f>UPPER(TRIM(D374))</f>
        <v>COMMUNICATION DELAY</v>
      </c>
      <c r="H374" s="1" t="str">
        <f>IF(OR(TRIM(G374)="Yes",TRIM(G374)="YES",TRIM(G374)="Y",TRIM(G374)="yes"),"Yes","No")</f>
        <v>No</v>
      </c>
      <c r="J374" s="1" t="str">
        <f>IF(OR(TRIM(I374)="Yes",TRIM(I374)="YES",TRIM(I374)="Y",TRIM(I374)="yes"),"Yes","No")</f>
        <v>No</v>
      </c>
      <c r="K374" s="1" t="s">
        <v>5</v>
      </c>
      <c r="L374" s="1" t="str">
        <f>IF(C374="","Yes","No")</f>
        <v>No</v>
      </c>
      <c r="M374" s="1">
        <f>IF(C374="", "", C374 - B374)</f>
        <v>11</v>
      </c>
      <c r="N374" s="3">
        <f>DATE(YEAR(B374),MONTH(B374),1)</f>
        <v>45627</v>
      </c>
      <c r="O374" s="2">
        <f>DATE(YEAR(B374),MONTH(B374),1)</f>
        <v>45627</v>
      </c>
    </row>
    <row r="375" spans="1:15" x14ac:dyDescent="0.2">
      <c r="A375" s="1" t="s">
        <v>122</v>
      </c>
      <c r="B375" s="3">
        <v>45620</v>
      </c>
      <c r="C375" s="3">
        <v>45635</v>
      </c>
      <c r="D375" s="1" t="s">
        <v>3</v>
      </c>
      <c r="E375" s="1" t="str">
        <f>UPPER(TRIM(D375))</f>
        <v>COMMUNICATION DELAY</v>
      </c>
      <c r="G375" s="1" t="s">
        <v>47</v>
      </c>
      <c r="H375" s="1" t="str">
        <f>IF(OR(TRIM(G375)="Yes",TRIM(G375)="YES",TRIM(G375)="Y",TRIM(G375)="yes"),"Yes","No")</f>
        <v>Yes</v>
      </c>
      <c r="I375" s="1" t="s">
        <v>1</v>
      </c>
      <c r="J375" s="1" t="str">
        <f>IF(OR(TRIM(I375)="Yes",TRIM(I375)="YES",TRIM(I375)="Y",TRIM(I375)="yes"),"Yes","No")</f>
        <v>Yes</v>
      </c>
      <c r="L375" s="1" t="str">
        <f>IF(C375="","Yes","No")</f>
        <v>No</v>
      </c>
      <c r="M375" s="1">
        <f>IF(C375="", "", C375 - B375)</f>
        <v>15</v>
      </c>
      <c r="N375" s="3">
        <f>DATE(YEAR(B375),MONTH(B375),1)</f>
        <v>45597</v>
      </c>
      <c r="O375" s="2">
        <f>DATE(YEAR(B375),MONTH(B375),1)</f>
        <v>45597</v>
      </c>
    </row>
    <row r="376" spans="1:15" x14ac:dyDescent="0.2">
      <c r="A376" s="1" t="s">
        <v>121</v>
      </c>
      <c r="B376" s="3">
        <v>45744</v>
      </c>
      <c r="C376" s="3">
        <v>45747</v>
      </c>
      <c r="D376" s="1" t="s">
        <v>22</v>
      </c>
      <c r="E376" s="1" t="str">
        <f>UPPER(TRIM(D376))</f>
        <v>BILLING ISSUE</v>
      </c>
      <c r="F376" s="1" t="s">
        <v>21</v>
      </c>
      <c r="G376" s="1" t="s">
        <v>16</v>
      </c>
      <c r="H376" s="1" t="str">
        <f>IF(OR(TRIM(G376)="Yes",TRIM(G376)="YES",TRIM(G376)="Y",TRIM(G376)="yes"),"Yes","No")</f>
        <v>No</v>
      </c>
      <c r="I376" s="1" t="s">
        <v>16</v>
      </c>
      <c r="J376" s="1" t="str">
        <f>IF(OR(TRIM(I376)="Yes",TRIM(I376)="YES",TRIM(I376)="Y",TRIM(I376)="yes"),"Yes","No")</f>
        <v>No</v>
      </c>
      <c r="K376" s="1" t="s">
        <v>15</v>
      </c>
      <c r="L376" s="1" t="str">
        <f>IF(C376="","Yes","No")</f>
        <v>No</v>
      </c>
      <c r="M376" s="1">
        <f>IF(C376="", "", C376 - B376)</f>
        <v>3</v>
      </c>
      <c r="N376" s="3">
        <f>DATE(YEAR(B376),MONTH(B376),1)</f>
        <v>45717</v>
      </c>
      <c r="O376" s="2">
        <f>DATE(YEAR(B376),MONTH(B376),1)</f>
        <v>45717</v>
      </c>
    </row>
    <row r="377" spans="1:15" x14ac:dyDescent="0.2">
      <c r="A377" s="1" t="s">
        <v>109</v>
      </c>
      <c r="B377" s="3">
        <v>45684</v>
      </c>
      <c r="C377" s="3">
        <v>45698</v>
      </c>
      <c r="D377" s="1" t="s">
        <v>27</v>
      </c>
      <c r="E377" s="1" t="str">
        <f>UPPER(TRIM(D377))</f>
        <v>SERVICE DELAY</v>
      </c>
      <c r="G377" s="1" t="s">
        <v>9</v>
      </c>
      <c r="H377" s="1" t="str">
        <f>IF(OR(TRIM(G377)="Yes",TRIM(G377)="YES",TRIM(G377)="Y",TRIM(G377)="yes"),"Yes","No")</f>
        <v>No</v>
      </c>
      <c r="I377" s="1" t="s">
        <v>1</v>
      </c>
      <c r="J377" s="1" t="str">
        <f>IF(OR(TRIM(I377)="Yes",TRIM(I377)="YES",TRIM(I377)="Y",TRIM(I377)="yes"),"Yes","No")</f>
        <v>Yes</v>
      </c>
      <c r="L377" s="1" t="str">
        <f>IF(C377="","Yes","No")</f>
        <v>No</v>
      </c>
      <c r="M377" s="1">
        <f>IF(C377="", "", C377 - B377)</f>
        <v>14</v>
      </c>
      <c r="N377" s="3">
        <f>DATE(YEAR(B377),MONTH(B377),1)</f>
        <v>45658</v>
      </c>
      <c r="O377" s="2">
        <f>DATE(YEAR(B377),MONTH(B377),1)</f>
        <v>45658</v>
      </c>
    </row>
    <row r="378" spans="1:15" x14ac:dyDescent="0.2">
      <c r="A378" s="1" t="s">
        <v>120</v>
      </c>
      <c r="B378" s="3">
        <v>45603</v>
      </c>
      <c r="C378" s="3">
        <v>45618</v>
      </c>
      <c r="D378" s="1" t="s">
        <v>7</v>
      </c>
      <c r="E378" s="1" t="str">
        <f>UPPER(TRIM(D378))</f>
        <v>BILLING ISSUE</v>
      </c>
      <c r="G378" s="1" t="s">
        <v>47</v>
      </c>
      <c r="H378" s="1" t="str">
        <f>IF(OR(TRIM(G378)="Yes",TRIM(G378)="YES",TRIM(G378)="Y",TRIM(G378)="yes"),"Yes","No")</f>
        <v>Yes</v>
      </c>
      <c r="I378" s="1" t="s">
        <v>9</v>
      </c>
      <c r="J378" s="1" t="str">
        <f>IF(OR(TRIM(I378)="Yes",TRIM(I378)="YES",TRIM(I378)="Y",TRIM(I378)="yes"),"Yes","No")</f>
        <v>No</v>
      </c>
      <c r="K378" s="1" t="s">
        <v>29</v>
      </c>
      <c r="L378" s="1" t="str">
        <f>IF(C378="","Yes","No")</f>
        <v>No</v>
      </c>
      <c r="M378" s="1">
        <f>IF(C378="", "", C378 - B378)</f>
        <v>15</v>
      </c>
      <c r="N378" s="3">
        <f>DATE(YEAR(B378),MONTH(B378),1)</f>
        <v>45597</v>
      </c>
      <c r="O378" s="2">
        <f>DATE(YEAR(B378),MONTH(B378),1)</f>
        <v>45597</v>
      </c>
    </row>
    <row r="379" spans="1:15" x14ac:dyDescent="0.2">
      <c r="A379" s="1" t="s">
        <v>119</v>
      </c>
      <c r="B379" s="3">
        <v>45636</v>
      </c>
      <c r="C379" s="3">
        <v>45640</v>
      </c>
      <c r="D379" s="1" t="s">
        <v>7</v>
      </c>
      <c r="E379" s="1" t="str">
        <f>UPPER(TRIM(D379))</f>
        <v>BILLING ISSUE</v>
      </c>
      <c r="F379" s="1" t="s">
        <v>6</v>
      </c>
      <c r="G379" s="1" t="s">
        <v>1</v>
      </c>
      <c r="H379" s="1" t="str">
        <f>IF(OR(TRIM(G379)="Yes",TRIM(G379)="YES",TRIM(G379)="Y",TRIM(G379)="yes"),"Yes","No")</f>
        <v>Yes</v>
      </c>
      <c r="I379" s="1" t="s">
        <v>1</v>
      </c>
      <c r="J379" s="1" t="str">
        <f>IF(OR(TRIM(I379)="Yes",TRIM(I379)="YES",TRIM(I379)="Y",TRIM(I379)="yes"),"Yes","No")</f>
        <v>Yes</v>
      </c>
      <c r="L379" s="1" t="str">
        <f>IF(C379="","Yes","No")</f>
        <v>No</v>
      </c>
      <c r="M379" s="1">
        <f>IF(C379="", "", C379 - B379)</f>
        <v>4</v>
      </c>
      <c r="N379" s="3">
        <f>DATE(YEAR(B379),MONTH(B379),1)</f>
        <v>45627</v>
      </c>
      <c r="O379" s="2">
        <f>DATE(YEAR(B379),MONTH(B379),1)</f>
        <v>45627</v>
      </c>
    </row>
    <row r="380" spans="1:15" x14ac:dyDescent="0.2">
      <c r="A380" s="1" t="s">
        <v>42</v>
      </c>
      <c r="B380" s="3">
        <v>45674</v>
      </c>
      <c r="D380" s="1" t="s">
        <v>35</v>
      </c>
      <c r="E380" s="1" t="str">
        <f>UPPER(TRIM(D380))</f>
        <v>DOCUMENTATION ERROR</v>
      </c>
      <c r="G380" s="1" t="s">
        <v>12</v>
      </c>
      <c r="H380" s="1" t="str">
        <f>IF(OR(TRIM(G380)="Yes",TRIM(G380)="YES",TRIM(G380)="Y",TRIM(G380)="yes"),"Yes","No")</f>
        <v>No</v>
      </c>
      <c r="I380" s="1" t="s">
        <v>9</v>
      </c>
      <c r="J380" s="1" t="str">
        <f>IF(OR(TRIM(I380)="Yes",TRIM(I380)="YES",TRIM(I380)="Y",TRIM(I380)="yes"),"Yes","No")</f>
        <v>No</v>
      </c>
      <c r="K380" s="1" t="s">
        <v>29</v>
      </c>
      <c r="L380" s="1" t="str">
        <f>IF(C380="","Yes","No")</f>
        <v>Yes</v>
      </c>
      <c r="M380" s="1" t="str">
        <f>IF(C380="", "", C380 - B380)</f>
        <v/>
      </c>
      <c r="N380" s="3">
        <f>DATE(YEAR(B380),MONTH(B380),1)</f>
        <v>45658</v>
      </c>
      <c r="O380" s="2">
        <f>DATE(YEAR(B380),MONTH(B380),1)</f>
        <v>45658</v>
      </c>
    </row>
    <row r="381" spans="1:15" x14ac:dyDescent="0.2">
      <c r="A381" s="1" t="s">
        <v>118</v>
      </c>
      <c r="B381" s="3">
        <v>45761</v>
      </c>
      <c r="C381" s="3">
        <v>45765</v>
      </c>
      <c r="D381" s="1" t="s">
        <v>19</v>
      </c>
      <c r="E381" s="1" t="str">
        <f>UPPER(TRIM(D381))</f>
        <v>DOC ERROR</v>
      </c>
      <c r="F381" s="1" t="s">
        <v>21</v>
      </c>
      <c r="G381" s="1" t="s">
        <v>9</v>
      </c>
      <c r="H381" s="1" t="str">
        <f>IF(OR(TRIM(G381)="Yes",TRIM(G381)="YES",TRIM(G381)="Y",TRIM(G381)="yes"),"Yes","No")</f>
        <v>No</v>
      </c>
      <c r="I381" s="1" t="s">
        <v>16</v>
      </c>
      <c r="J381" s="1" t="str">
        <f>IF(OR(TRIM(I381)="Yes",TRIM(I381)="YES",TRIM(I381)="Y",TRIM(I381)="yes"),"Yes","No")</f>
        <v>No</v>
      </c>
      <c r="L381" s="1" t="str">
        <f>IF(C381="","Yes","No")</f>
        <v>No</v>
      </c>
      <c r="M381" s="1">
        <f>IF(C381="", "", C381 - B381)</f>
        <v>4</v>
      </c>
      <c r="N381" s="3">
        <f>DATE(YEAR(B381),MONTH(B381),1)</f>
        <v>45748</v>
      </c>
      <c r="O381" s="2">
        <f>DATE(YEAR(B381),MONTH(B381),1)</f>
        <v>45748</v>
      </c>
    </row>
    <row r="382" spans="1:15" x14ac:dyDescent="0.2">
      <c r="A382" s="1" t="s">
        <v>117</v>
      </c>
      <c r="B382" s="3">
        <v>45675</v>
      </c>
      <c r="C382" s="3">
        <v>45693</v>
      </c>
      <c r="D382" s="1" t="s">
        <v>7</v>
      </c>
      <c r="E382" s="1" t="str">
        <f>UPPER(TRIM(D382))</f>
        <v>BILLING ISSUE</v>
      </c>
      <c r="F382" s="1" t="s">
        <v>21</v>
      </c>
      <c r="G382" s="1" t="s">
        <v>0</v>
      </c>
      <c r="H382" s="1" t="str">
        <f>IF(OR(TRIM(G382)="Yes",TRIM(G382)="YES",TRIM(G382)="Y",TRIM(G382)="yes"),"Yes","No")</f>
        <v>Yes</v>
      </c>
      <c r="I382" s="1" t="s">
        <v>1</v>
      </c>
      <c r="J382" s="1" t="str">
        <f>IF(OR(TRIM(I382)="Yes",TRIM(I382)="YES",TRIM(I382)="Y",TRIM(I382)="yes"),"Yes","No")</f>
        <v>Yes</v>
      </c>
      <c r="L382" s="1" t="str">
        <f>IF(C382="","Yes","No")</f>
        <v>No</v>
      </c>
      <c r="M382" s="1">
        <f>IF(C382="", "", C382 - B382)</f>
        <v>18</v>
      </c>
      <c r="N382" s="3">
        <f>DATE(YEAR(B382),MONTH(B382),1)</f>
        <v>45658</v>
      </c>
      <c r="O382" s="2">
        <f>DATE(YEAR(B382),MONTH(B382),1)</f>
        <v>45658</v>
      </c>
    </row>
    <row r="383" spans="1:15" x14ac:dyDescent="0.2">
      <c r="A383" s="1" t="s">
        <v>116</v>
      </c>
      <c r="B383" s="3">
        <v>45636</v>
      </c>
      <c r="D383" s="1" t="s">
        <v>10</v>
      </c>
      <c r="E383" s="1" t="str">
        <f>UPPER(TRIM(D383))</f>
        <v>POLICY UPDATE</v>
      </c>
      <c r="G383" s="1" t="s">
        <v>1</v>
      </c>
      <c r="H383" s="1" t="str">
        <f>IF(OR(TRIM(G383)="Yes",TRIM(G383)="YES",TRIM(G383)="Y",TRIM(G383)="yes"),"Yes","No")</f>
        <v>Yes</v>
      </c>
      <c r="I383" s="1" t="s">
        <v>1</v>
      </c>
      <c r="J383" s="1" t="str">
        <f>IF(OR(TRIM(I383)="Yes",TRIM(I383)="YES",TRIM(I383)="Y",TRIM(I383)="yes"),"Yes","No")</f>
        <v>Yes</v>
      </c>
      <c r="K383" s="1" t="s">
        <v>29</v>
      </c>
      <c r="L383" s="1" t="str">
        <f>IF(C383="","Yes","No")</f>
        <v>Yes</v>
      </c>
      <c r="M383" s="1" t="str">
        <f>IF(C383="", "", C383 - B383)</f>
        <v/>
      </c>
      <c r="N383" s="3">
        <f>DATE(YEAR(B383),MONTH(B383),1)</f>
        <v>45627</v>
      </c>
      <c r="O383" s="2">
        <f>DATE(YEAR(B383),MONTH(B383),1)</f>
        <v>45627</v>
      </c>
    </row>
    <row r="384" spans="1:15" x14ac:dyDescent="0.2">
      <c r="A384" s="1" t="s">
        <v>115</v>
      </c>
      <c r="B384" s="3">
        <v>45704</v>
      </c>
      <c r="C384" s="3">
        <v>45709</v>
      </c>
      <c r="D384" s="1" t="s">
        <v>44</v>
      </c>
      <c r="E384" s="1" t="str">
        <f>UPPER(TRIM(D384))</f>
        <v>COMMUNICATION DELAY</v>
      </c>
      <c r="F384" s="1" t="s">
        <v>2</v>
      </c>
      <c r="G384" s="1" t="s">
        <v>16</v>
      </c>
      <c r="H384" s="1" t="str">
        <f>IF(OR(TRIM(G384)="Yes",TRIM(G384)="YES",TRIM(G384)="Y",TRIM(G384)="yes"),"Yes","No")</f>
        <v>No</v>
      </c>
      <c r="I384" s="1" t="s">
        <v>16</v>
      </c>
      <c r="J384" s="1" t="str">
        <f>IF(OR(TRIM(I384)="Yes",TRIM(I384)="YES",TRIM(I384)="Y",TRIM(I384)="yes"),"Yes","No")</f>
        <v>No</v>
      </c>
      <c r="L384" s="1" t="str">
        <f>IF(C384="","Yes","No")</f>
        <v>No</v>
      </c>
      <c r="M384" s="1">
        <f>IF(C384="", "", C384 - B384)</f>
        <v>5</v>
      </c>
      <c r="N384" s="3">
        <f>DATE(YEAR(B384),MONTH(B384),1)</f>
        <v>45689</v>
      </c>
      <c r="O384" s="2">
        <f>DATE(YEAR(B384),MONTH(B384),1)</f>
        <v>45689</v>
      </c>
    </row>
    <row r="385" spans="1:15" x14ac:dyDescent="0.2">
      <c r="A385" s="1" t="s">
        <v>26</v>
      </c>
      <c r="B385" s="3">
        <v>45734</v>
      </c>
      <c r="C385" s="3">
        <v>45743</v>
      </c>
      <c r="D385" s="1" t="s">
        <v>27</v>
      </c>
      <c r="E385" s="1" t="str">
        <f>UPPER(TRIM(D385))</f>
        <v>SERVICE DELAY</v>
      </c>
      <c r="F385" s="1" t="s">
        <v>21</v>
      </c>
      <c r="G385" s="1" t="s">
        <v>9</v>
      </c>
      <c r="H385" s="1" t="str">
        <f>IF(OR(TRIM(G385)="Yes",TRIM(G385)="YES",TRIM(G385)="Y",TRIM(G385)="yes"),"Yes","No")</f>
        <v>No</v>
      </c>
      <c r="J385" s="1" t="str">
        <f>IF(OR(TRIM(I385)="Yes",TRIM(I385)="YES",TRIM(I385)="Y",TRIM(I385)="yes"),"Yes","No")</f>
        <v>No</v>
      </c>
      <c r="L385" s="1" t="str">
        <f>IF(C385="","Yes","No")</f>
        <v>No</v>
      </c>
      <c r="M385" s="1">
        <f>IF(C385="", "", C385 - B385)</f>
        <v>9</v>
      </c>
      <c r="N385" s="3">
        <f>DATE(YEAR(B385),MONTH(B385),1)</f>
        <v>45717</v>
      </c>
      <c r="O385" s="2">
        <f>DATE(YEAR(B385),MONTH(B385),1)</f>
        <v>45717</v>
      </c>
    </row>
    <row r="386" spans="1:15" x14ac:dyDescent="0.2">
      <c r="A386" s="1" t="s">
        <v>114</v>
      </c>
      <c r="B386" s="3">
        <v>45670</v>
      </c>
      <c r="C386" s="3">
        <v>45689</v>
      </c>
      <c r="D386" s="1" t="s">
        <v>10</v>
      </c>
      <c r="E386" s="1" t="str">
        <f>UPPER(TRIM(D386))</f>
        <v>POLICY UPDATE</v>
      </c>
      <c r="F386" s="1" t="s">
        <v>18</v>
      </c>
      <c r="G386" s="1" t="s">
        <v>12</v>
      </c>
      <c r="H386" s="1" t="str">
        <f>IF(OR(TRIM(G386)="Yes",TRIM(G386)="YES",TRIM(G386)="Y",TRIM(G386)="yes"),"Yes","No")</f>
        <v>No</v>
      </c>
      <c r="I386" s="1" t="s">
        <v>9</v>
      </c>
      <c r="J386" s="1" t="str">
        <f>IF(OR(TRIM(I386)="Yes",TRIM(I386)="YES",TRIM(I386)="Y",TRIM(I386)="yes"),"Yes","No")</f>
        <v>No</v>
      </c>
      <c r="K386" s="1" t="s">
        <v>15</v>
      </c>
      <c r="L386" s="1" t="str">
        <f>IF(C386="","Yes","No")</f>
        <v>No</v>
      </c>
      <c r="M386" s="1">
        <f>IF(C386="", "", C386 - B386)</f>
        <v>19</v>
      </c>
      <c r="N386" s="3">
        <f>DATE(YEAR(B386),MONTH(B386),1)</f>
        <v>45658</v>
      </c>
      <c r="O386" s="2">
        <f>DATE(YEAR(B386),MONTH(B386),1)</f>
        <v>45658</v>
      </c>
    </row>
    <row r="387" spans="1:15" x14ac:dyDescent="0.2">
      <c r="A387" s="1" t="s">
        <v>113</v>
      </c>
      <c r="B387" s="3">
        <v>45588</v>
      </c>
      <c r="C387" s="3">
        <v>45592</v>
      </c>
      <c r="D387" s="1" t="s">
        <v>24</v>
      </c>
      <c r="E387" s="1" t="str">
        <f>UPPER(TRIM(D387))</f>
        <v>BILLING ISSUE</v>
      </c>
      <c r="F387" s="1" t="s">
        <v>2</v>
      </c>
      <c r="G387" s="1" t="s">
        <v>9</v>
      </c>
      <c r="H387" s="1" t="str">
        <f>IF(OR(TRIM(G387)="Yes",TRIM(G387)="YES",TRIM(G387)="Y",TRIM(G387)="yes"),"Yes","No")</f>
        <v>No</v>
      </c>
      <c r="I387" s="1" t="s">
        <v>1</v>
      </c>
      <c r="J387" s="1" t="str">
        <f>IF(OR(TRIM(I387)="Yes",TRIM(I387)="YES",TRIM(I387)="Y",TRIM(I387)="yes"),"Yes","No")</f>
        <v>Yes</v>
      </c>
      <c r="L387" s="1" t="str">
        <f>IF(C387="","Yes","No")</f>
        <v>No</v>
      </c>
      <c r="M387" s="1">
        <f>IF(C387="", "", C387 - B387)</f>
        <v>4</v>
      </c>
      <c r="N387" s="3">
        <f>DATE(YEAR(B387),MONTH(B387),1)</f>
        <v>45566</v>
      </c>
      <c r="O387" s="2">
        <f>DATE(YEAR(B387),MONTH(B387),1)</f>
        <v>45566</v>
      </c>
    </row>
    <row r="388" spans="1:15" x14ac:dyDescent="0.2">
      <c r="A388" s="1" t="s">
        <v>112</v>
      </c>
      <c r="B388" s="3">
        <v>45722</v>
      </c>
      <c r="C388" s="3">
        <v>45730</v>
      </c>
      <c r="D388" s="1" t="s">
        <v>22</v>
      </c>
      <c r="E388" s="1" t="str">
        <f>UPPER(TRIM(D388))</f>
        <v>BILLING ISSUE</v>
      </c>
      <c r="F388" s="1" t="s">
        <v>6</v>
      </c>
      <c r="H388" s="1" t="str">
        <f>IF(OR(TRIM(G388)="Yes",TRIM(G388)="YES",TRIM(G388)="Y",TRIM(G388)="yes"),"Yes","No")</f>
        <v>No</v>
      </c>
      <c r="I388" s="1" t="s">
        <v>9</v>
      </c>
      <c r="J388" s="1" t="str">
        <f>IF(OR(TRIM(I388)="Yes",TRIM(I388)="YES",TRIM(I388)="Y",TRIM(I388)="yes"),"Yes","No")</f>
        <v>No</v>
      </c>
      <c r="L388" s="1" t="str">
        <f>IF(C388="","Yes","No")</f>
        <v>No</v>
      </c>
      <c r="M388" s="1">
        <f>IF(C388="", "", C388 - B388)</f>
        <v>8</v>
      </c>
      <c r="N388" s="3">
        <f>DATE(YEAR(B388),MONTH(B388),1)</f>
        <v>45717</v>
      </c>
      <c r="O388" s="2">
        <f>DATE(YEAR(B388),MONTH(B388),1)</f>
        <v>45717</v>
      </c>
    </row>
    <row r="389" spans="1:15" x14ac:dyDescent="0.2">
      <c r="A389" s="1" t="s">
        <v>46</v>
      </c>
      <c r="B389" s="3">
        <v>45674</v>
      </c>
      <c r="D389" s="1" t="s">
        <v>22</v>
      </c>
      <c r="E389" s="1" t="str">
        <f>UPPER(TRIM(D389))</f>
        <v>BILLING ISSUE</v>
      </c>
      <c r="F389" s="1" t="s">
        <v>2</v>
      </c>
      <c r="G389" s="1" t="s">
        <v>1</v>
      </c>
      <c r="H389" s="1" t="str">
        <f>IF(OR(TRIM(G389)="Yes",TRIM(G389)="YES",TRIM(G389)="Y",TRIM(G389)="yes"),"Yes","No")</f>
        <v>Yes</v>
      </c>
      <c r="I389" s="1" t="s">
        <v>1</v>
      </c>
      <c r="J389" s="1" t="str">
        <f>IF(OR(TRIM(I389)="Yes",TRIM(I389)="YES",TRIM(I389)="Y",TRIM(I389)="yes"),"Yes","No")</f>
        <v>Yes</v>
      </c>
      <c r="K389" s="1" t="s">
        <v>5</v>
      </c>
      <c r="L389" s="1" t="str">
        <f>IF(C389="","Yes","No")</f>
        <v>Yes</v>
      </c>
      <c r="M389" s="1" t="str">
        <f>IF(C389="", "", C389 - B389)</f>
        <v/>
      </c>
      <c r="N389" s="3">
        <f>DATE(YEAR(B389),MONTH(B389),1)</f>
        <v>45658</v>
      </c>
      <c r="O389" s="2">
        <f>DATE(YEAR(B389),MONTH(B389),1)</f>
        <v>45658</v>
      </c>
    </row>
    <row r="390" spans="1:15" x14ac:dyDescent="0.2">
      <c r="A390" s="1" t="s">
        <v>79</v>
      </c>
      <c r="B390" s="3">
        <v>45718</v>
      </c>
      <c r="C390" s="3">
        <v>45729</v>
      </c>
      <c r="D390" s="1" t="s">
        <v>24</v>
      </c>
      <c r="E390" s="1" t="str">
        <f>UPPER(TRIM(D390))</f>
        <v>BILLING ISSUE</v>
      </c>
      <c r="G390" s="1" t="s">
        <v>16</v>
      </c>
      <c r="H390" s="1" t="str">
        <f>IF(OR(TRIM(G390)="Yes",TRIM(G390)="YES",TRIM(G390)="Y",TRIM(G390)="yes"),"Yes","No")</f>
        <v>No</v>
      </c>
      <c r="J390" s="1" t="str">
        <f>IF(OR(TRIM(I390)="Yes",TRIM(I390)="YES",TRIM(I390)="Y",TRIM(I390)="yes"),"Yes","No")</f>
        <v>No</v>
      </c>
      <c r="K390" s="1" t="s">
        <v>15</v>
      </c>
      <c r="L390" s="1" t="str">
        <f>IF(C390="","Yes","No")</f>
        <v>No</v>
      </c>
      <c r="M390" s="1">
        <f>IF(C390="", "", C390 - B390)</f>
        <v>11</v>
      </c>
      <c r="N390" s="3">
        <f>DATE(YEAR(B390),MONTH(B390),1)</f>
        <v>45717</v>
      </c>
      <c r="O390" s="2">
        <f>DATE(YEAR(B390),MONTH(B390),1)</f>
        <v>45717</v>
      </c>
    </row>
    <row r="391" spans="1:15" x14ac:dyDescent="0.2">
      <c r="A391" s="1" t="s">
        <v>111</v>
      </c>
      <c r="B391" s="3">
        <v>45610</v>
      </c>
      <c r="C391" s="3">
        <v>45625</v>
      </c>
      <c r="D391" s="1" t="s">
        <v>10</v>
      </c>
      <c r="E391" s="1" t="str">
        <f>UPPER(TRIM(D391))</f>
        <v>POLICY UPDATE</v>
      </c>
      <c r="F391" s="1" t="s">
        <v>21</v>
      </c>
      <c r="G391" s="1" t="s">
        <v>9</v>
      </c>
      <c r="H391" s="1" t="str">
        <f>IF(OR(TRIM(G391)="Yes",TRIM(G391)="YES",TRIM(G391)="Y",TRIM(G391)="yes"),"Yes","No")</f>
        <v>No</v>
      </c>
      <c r="I391" s="1" t="s">
        <v>1</v>
      </c>
      <c r="J391" s="1" t="str">
        <f>IF(OR(TRIM(I391)="Yes",TRIM(I391)="YES",TRIM(I391)="Y",TRIM(I391)="yes"),"Yes","No")</f>
        <v>Yes</v>
      </c>
      <c r="K391" s="1" t="s">
        <v>5</v>
      </c>
      <c r="L391" s="1" t="str">
        <f>IF(C391="","Yes","No")</f>
        <v>No</v>
      </c>
      <c r="M391" s="1">
        <f>IF(C391="", "", C391 - B391)</f>
        <v>15</v>
      </c>
      <c r="N391" s="3">
        <f>DATE(YEAR(B391),MONTH(B391),1)</f>
        <v>45597</v>
      </c>
      <c r="O391" s="2">
        <f>DATE(YEAR(B391),MONTH(B391),1)</f>
        <v>45597</v>
      </c>
    </row>
    <row r="392" spans="1:15" x14ac:dyDescent="0.2">
      <c r="A392" s="1" t="s">
        <v>80</v>
      </c>
      <c r="B392" s="3">
        <v>45593</v>
      </c>
      <c r="C392" s="3">
        <v>45610</v>
      </c>
      <c r="D392" s="1" t="s">
        <v>19</v>
      </c>
      <c r="E392" s="1" t="str">
        <f>UPPER(TRIM(D392))</f>
        <v>DOC ERROR</v>
      </c>
      <c r="F392" s="1" t="s">
        <v>21</v>
      </c>
      <c r="G392" s="1" t="s">
        <v>16</v>
      </c>
      <c r="H392" s="1" t="str">
        <f>IF(OR(TRIM(G392)="Yes",TRIM(G392)="YES",TRIM(G392)="Y",TRIM(G392)="yes"),"Yes","No")</f>
        <v>No</v>
      </c>
      <c r="I392" s="1" t="s">
        <v>16</v>
      </c>
      <c r="J392" s="1" t="str">
        <f>IF(OR(TRIM(I392)="Yes",TRIM(I392)="YES",TRIM(I392)="Y",TRIM(I392)="yes"),"Yes","No")</f>
        <v>No</v>
      </c>
      <c r="K392" s="1" t="s">
        <v>29</v>
      </c>
      <c r="L392" s="1" t="str">
        <f>IF(C392="","Yes","No")</f>
        <v>No</v>
      </c>
      <c r="M392" s="1">
        <f>IF(C392="", "", C392 - B392)</f>
        <v>17</v>
      </c>
      <c r="N392" s="3">
        <f>DATE(YEAR(B392),MONTH(B392),1)</f>
        <v>45566</v>
      </c>
      <c r="O392" s="2">
        <f>DATE(YEAR(B392),MONTH(B392),1)</f>
        <v>45566</v>
      </c>
    </row>
    <row r="393" spans="1:15" x14ac:dyDescent="0.2">
      <c r="A393" s="1" t="s">
        <v>110</v>
      </c>
      <c r="B393" s="3">
        <v>45621</v>
      </c>
      <c r="C393" s="3">
        <v>45633</v>
      </c>
      <c r="D393" s="1" t="s">
        <v>22</v>
      </c>
      <c r="E393" s="1" t="str">
        <f>UPPER(TRIM(D393))</f>
        <v>BILLING ISSUE</v>
      </c>
      <c r="F393" s="1" t="s">
        <v>6</v>
      </c>
      <c r="G393" s="1" t="s">
        <v>0</v>
      </c>
      <c r="H393" s="1" t="str">
        <f>IF(OR(TRIM(G393)="Yes",TRIM(G393)="YES",TRIM(G393)="Y",TRIM(G393)="yes"),"Yes","No")</f>
        <v>Yes</v>
      </c>
      <c r="I393" s="1" t="s">
        <v>0</v>
      </c>
      <c r="J393" s="1" t="str">
        <f>IF(OR(TRIM(I393)="Yes",TRIM(I393)="YES",TRIM(I393)="Y",TRIM(I393)="yes"),"Yes","No")</f>
        <v>Yes</v>
      </c>
      <c r="K393" s="1" t="s">
        <v>5</v>
      </c>
      <c r="L393" s="1" t="str">
        <f>IF(C393="","Yes","No")</f>
        <v>No</v>
      </c>
      <c r="M393" s="1">
        <f>IF(C393="", "", C393 - B393)</f>
        <v>12</v>
      </c>
      <c r="N393" s="3">
        <f>DATE(YEAR(B393),MONTH(B393),1)</f>
        <v>45597</v>
      </c>
      <c r="O393" s="2">
        <f>DATE(YEAR(B393),MONTH(B393),1)</f>
        <v>45597</v>
      </c>
    </row>
    <row r="394" spans="1:15" x14ac:dyDescent="0.2">
      <c r="A394" s="1" t="s">
        <v>63</v>
      </c>
      <c r="B394" s="3">
        <v>45566</v>
      </c>
      <c r="C394" s="3">
        <v>45582</v>
      </c>
      <c r="D394" s="1" t="s">
        <v>7</v>
      </c>
      <c r="E394" s="1" t="str">
        <f>UPPER(TRIM(D394))</f>
        <v>BILLING ISSUE</v>
      </c>
      <c r="H394" s="1" t="str">
        <f>IF(OR(TRIM(G394)="Yes",TRIM(G394)="YES",TRIM(G394)="Y",TRIM(G394)="yes"),"Yes","No")</f>
        <v>No</v>
      </c>
      <c r="I394" s="1" t="s">
        <v>0</v>
      </c>
      <c r="J394" s="1" t="str">
        <f>IF(OR(TRIM(I394)="Yes",TRIM(I394)="YES",TRIM(I394)="Y",TRIM(I394)="yes"),"Yes","No")</f>
        <v>Yes</v>
      </c>
      <c r="L394" s="1" t="str">
        <f>IF(C394="","Yes","No")</f>
        <v>No</v>
      </c>
      <c r="M394" s="1">
        <f>IF(C394="", "", C394 - B394)</f>
        <v>16</v>
      </c>
      <c r="N394" s="3">
        <f>DATE(YEAR(B394),MONTH(B394),1)</f>
        <v>45566</v>
      </c>
      <c r="O394" s="2">
        <f>DATE(YEAR(B394),MONTH(B394),1)</f>
        <v>45566</v>
      </c>
    </row>
    <row r="395" spans="1:15" x14ac:dyDescent="0.2">
      <c r="A395" s="1" t="s">
        <v>109</v>
      </c>
      <c r="B395" s="3">
        <v>45610</v>
      </c>
      <c r="C395" s="3">
        <v>45617</v>
      </c>
      <c r="D395" s="1" t="s">
        <v>3</v>
      </c>
      <c r="E395" s="1" t="str">
        <f>UPPER(TRIM(D395))</f>
        <v>COMMUNICATION DELAY</v>
      </c>
      <c r="G395" s="1" t="s">
        <v>47</v>
      </c>
      <c r="H395" s="1" t="str">
        <f>IF(OR(TRIM(G395)="Yes",TRIM(G395)="YES",TRIM(G395)="Y",TRIM(G395)="yes"),"Yes","No")</f>
        <v>Yes</v>
      </c>
      <c r="I395" s="1" t="s">
        <v>9</v>
      </c>
      <c r="J395" s="1" t="str">
        <f>IF(OR(TRIM(I395)="Yes",TRIM(I395)="YES",TRIM(I395)="Y",TRIM(I395)="yes"),"Yes","No")</f>
        <v>No</v>
      </c>
      <c r="L395" s="1" t="str">
        <f>IF(C395="","Yes","No")</f>
        <v>No</v>
      </c>
      <c r="M395" s="1">
        <f>IF(C395="", "", C395 - B395)</f>
        <v>7</v>
      </c>
      <c r="N395" s="3">
        <f>DATE(YEAR(B395),MONTH(B395),1)</f>
        <v>45597</v>
      </c>
      <c r="O395" s="2">
        <f>DATE(YEAR(B395),MONTH(B395),1)</f>
        <v>45597</v>
      </c>
    </row>
    <row r="396" spans="1:15" x14ac:dyDescent="0.2">
      <c r="A396" s="1" t="s">
        <v>108</v>
      </c>
      <c r="B396" s="3">
        <v>45684</v>
      </c>
      <c r="C396" s="3">
        <v>45696</v>
      </c>
      <c r="D396" s="1" t="s">
        <v>22</v>
      </c>
      <c r="E396" s="1" t="str">
        <f>UPPER(TRIM(D396))</f>
        <v>BILLING ISSUE</v>
      </c>
      <c r="F396" s="1" t="s">
        <v>6</v>
      </c>
      <c r="G396" s="1" t="s">
        <v>9</v>
      </c>
      <c r="H396" s="1" t="str">
        <f>IF(OR(TRIM(G396)="Yes",TRIM(G396)="YES",TRIM(G396)="Y",TRIM(G396)="yes"),"Yes","No")</f>
        <v>No</v>
      </c>
      <c r="I396" s="1" t="s">
        <v>1</v>
      </c>
      <c r="J396" s="1" t="str">
        <f>IF(OR(TRIM(I396)="Yes",TRIM(I396)="YES",TRIM(I396)="Y",TRIM(I396)="yes"),"Yes","No")</f>
        <v>Yes</v>
      </c>
      <c r="L396" s="1" t="str">
        <f>IF(C396="","Yes","No")</f>
        <v>No</v>
      </c>
      <c r="M396" s="1">
        <f>IF(C396="", "", C396 - B396)</f>
        <v>12</v>
      </c>
      <c r="N396" s="3">
        <f>DATE(YEAR(B396),MONTH(B396),1)</f>
        <v>45658</v>
      </c>
      <c r="O396" s="2">
        <f>DATE(YEAR(B396),MONTH(B396),1)</f>
        <v>45658</v>
      </c>
    </row>
    <row r="397" spans="1:15" x14ac:dyDescent="0.2">
      <c r="A397" s="1" t="s">
        <v>107</v>
      </c>
      <c r="B397" s="3">
        <v>45612</v>
      </c>
      <c r="D397" s="1" t="s">
        <v>3</v>
      </c>
      <c r="E397" s="1" t="str">
        <f>UPPER(TRIM(D397))</f>
        <v>COMMUNICATION DELAY</v>
      </c>
      <c r="F397" s="1" t="s">
        <v>6</v>
      </c>
      <c r="G397" s="1" t="s">
        <v>1</v>
      </c>
      <c r="H397" s="1" t="str">
        <f>IF(OR(TRIM(G397)="Yes",TRIM(G397)="YES",TRIM(G397)="Y",TRIM(G397)="yes"),"Yes","No")</f>
        <v>Yes</v>
      </c>
      <c r="I397" s="1" t="s">
        <v>0</v>
      </c>
      <c r="J397" s="1" t="str">
        <f>IF(OR(TRIM(I397)="Yes",TRIM(I397)="YES",TRIM(I397)="Y",TRIM(I397)="yes"),"Yes","No")</f>
        <v>Yes</v>
      </c>
      <c r="K397" s="1" t="s">
        <v>5</v>
      </c>
      <c r="L397" s="1" t="str">
        <f>IF(C397="","Yes","No")</f>
        <v>Yes</v>
      </c>
      <c r="M397" s="1" t="str">
        <f>IF(C397="", "", C397 - B397)</f>
        <v/>
      </c>
      <c r="N397" s="3">
        <f>DATE(YEAR(B397),MONTH(B397),1)</f>
        <v>45597</v>
      </c>
      <c r="O397" s="2">
        <f>DATE(YEAR(B397),MONTH(B397),1)</f>
        <v>45597</v>
      </c>
    </row>
    <row r="398" spans="1:15" x14ac:dyDescent="0.2">
      <c r="A398" s="1" t="s">
        <v>42</v>
      </c>
      <c r="B398" s="3">
        <v>45611</v>
      </c>
      <c r="C398" s="3">
        <v>45615</v>
      </c>
      <c r="D398" s="1" t="s">
        <v>27</v>
      </c>
      <c r="E398" s="1" t="str">
        <f>UPPER(TRIM(D398))</f>
        <v>SERVICE DELAY</v>
      </c>
      <c r="F398" s="1" t="s">
        <v>18</v>
      </c>
      <c r="G398" s="1" t="s">
        <v>16</v>
      </c>
      <c r="H398" s="1" t="str">
        <f>IF(OR(TRIM(G398)="Yes",TRIM(G398)="YES",TRIM(G398)="Y",TRIM(G398)="yes"),"Yes","No")</f>
        <v>No</v>
      </c>
      <c r="J398" s="1" t="str">
        <f>IF(OR(TRIM(I398)="Yes",TRIM(I398)="YES",TRIM(I398)="Y",TRIM(I398)="yes"),"Yes","No")</f>
        <v>No</v>
      </c>
      <c r="L398" s="1" t="str">
        <f>IF(C398="","Yes","No")</f>
        <v>No</v>
      </c>
      <c r="M398" s="1">
        <f>IF(C398="", "", C398 - B398)</f>
        <v>4</v>
      </c>
      <c r="N398" s="3">
        <f>DATE(YEAR(B398),MONTH(B398),1)</f>
        <v>45597</v>
      </c>
      <c r="O398" s="2">
        <f>DATE(YEAR(B398),MONTH(B398),1)</f>
        <v>45597</v>
      </c>
    </row>
    <row r="399" spans="1:15" x14ac:dyDescent="0.2">
      <c r="A399" s="1" t="s">
        <v>68</v>
      </c>
      <c r="B399" s="3">
        <v>45648</v>
      </c>
      <c r="D399" s="1" t="s">
        <v>3</v>
      </c>
      <c r="E399" s="1" t="str">
        <f>UPPER(TRIM(D399))</f>
        <v>COMMUNICATION DELAY</v>
      </c>
      <c r="G399" s="1" t="s">
        <v>9</v>
      </c>
      <c r="H399" s="1" t="str">
        <f>IF(OR(TRIM(G399)="Yes",TRIM(G399)="YES",TRIM(G399)="Y",TRIM(G399)="yes"),"Yes","No")</f>
        <v>No</v>
      </c>
      <c r="J399" s="1" t="str">
        <f>IF(OR(TRIM(I399)="Yes",TRIM(I399)="YES",TRIM(I399)="Y",TRIM(I399)="yes"),"Yes","No")</f>
        <v>No</v>
      </c>
      <c r="K399" s="1" t="s">
        <v>29</v>
      </c>
      <c r="L399" s="1" t="str">
        <f>IF(C399="","Yes","No")</f>
        <v>Yes</v>
      </c>
      <c r="M399" s="1" t="str">
        <f>IF(C399="", "", C399 - B399)</f>
        <v/>
      </c>
      <c r="N399" s="3">
        <f>DATE(YEAR(B399),MONTH(B399),1)</f>
        <v>45627</v>
      </c>
      <c r="O399" s="2">
        <f>DATE(YEAR(B399),MONTH(B399),1)</f>
        <v>45627</v>
      </c>
    </row>
    <row r="400" spans="1:15" x14ac:dyDescent="0.2">
      <c r="A400" s="1" t="s">
        <v>106</v>
      </c>
      <c r="B400" s="3">
        <v>45696</v>
      </c>
      <c r="C400" s="3">
        <v>45698</v>
      </c>
      <c r="D400" s="1" t="s">
        <v>33</v>
      </c>
      <c r="E400" s="1" t="str">
        <f>UPPER(TRIM(D400))</f>
        <v>POLICY UPDATE</v>
      </c>
      <c r="F400" s="1" t="s">
        <v>21</v>
      </c>
      <c r="G400" s="1" t="s">
        <v>12</v>
      </c>
      <c r="H400" s="1" t="str">
        <f>IF(OR(TRIM(G400)="Yes",TRIM(G400)="YES",TRIM(G400)="Y",TRIM(G400)="yes"),"Yes","No")</f>
        <v>No</v>
      </c>
      <c r="I400" s="1" t="s">
        <v>1</v>
      </c>
      <c r="J400" s="1" t="str">
        <f>IF(OR(TRIM(I400)="Yes",TRIM(I400)="YES",TRIM(I400)="Y",TRIM(I400)="yes"),"Yes","No")</f>
        <v>Yes</v>
      </c>
      <c r="L400" s="1" t="str">
        <f>IF(C400="","Yes","No")</f>
        <v>No</v>
      </c>
      <c r="M400" s="1">
        <f>IF(C400="", "", C400 - B400)</f>
        <v>2</v>
      </c>
      <c r="N400" s="3">
        <f>DATE(YEAR(B400),MONTH(B400),1)</f>
        <v>45689</v>
      </c>
      <c r="O400" s="2">
        <f>DATE(YEAR(B400),MONTH(B400),1)</f>
        <v>45689</v>
      </c>
    </row>
    <row r="401" spans="1:15" x14ac:dyDescent="0.2">
      <c r="A401" s="1" t="s">
        <v>105</v>
      </c>
      <c r="B401" s="3">
        <v>45573</v>
      </c>
      <c r="C401" s="3">
        <v>45592</v>
      </c>
      <c r="D401" s="1" t="s">
        <v>22</v>
      </c>
      <c r="E401" s="1" t="str">
        <f>UPPER(TRIM(D401))</f>
        <v>BILLING ISSUE</v>
      </c>
      <c r="F401" s="1" t="s">
        <v>6</v>
      </c>
      <c r="G401" s="1" t="s">
        <v>47</v>
      </c>
      <c r="H401" s="1" t="str">
        <f>IF(OR(TRIM(G401)="Yes",TRIM(G401)="YES",TRIM(G401)="Y",TRIM(G401)="yes"),"Yes","No")</f>
        <v>Yes</v>
      </c>
      <c r="I401" s="1" t="s">
        <v>16</v>
      </c>
      <c r="J401" s="1" t="str">
        <f>IF(OR(TRIM(I401)="Yes",TRIM(I401)="YES",TRIM(I401)="Y",TRIM(I401)="yes"),"Yes","No")</f>
        <v>No</v>
      </c>
      <c r="L401" s="1" t="str">
        <f>IF(C401="","Yes","No")</f>
        <v>No</v>
      </c>
      <c r="M401" s="1">
        <f>IF(C401="", "", C401 - B401)</f>
        <v>19</v>
      </c>
      <c r="N401" s="3">
        <f>DATE(YEAR(B401),MONTH(B401),1)</f>
        <v>45566</v>
      </c>
      <c r="O401" s="2">
        <f>DATE(YEAR(B401),MONTH(B401),1)</f>
        <v>45566</v>
      </c>
    </row>
    <row r="402" spans="1:15" x14ac:dyDescent="0.2">
      <c r="A402" s="1" t="s">
        <v>67</v>
      </c>
      <c r="B402" s="3">
        <v>45585</v>
      </c>
      <c r="C402" s="3">
        <v>45586</v>
      </c>
      <c r="D402" s="1" t="s">
        <v>22</v>
      </c>
      <c r="E402" s="1" t="str">
        <f>UPPER(TRIM(D402))</f>
        <v>BILLING ISSUE</v>
      </c>
      <c r="F402" s="1" t="s">
        <v>6</v>
      </c>
      <c r="G402" s="1" t="s">
        <v>0</v>
      </c>
      <c r="H402" s="1" t="str">
        <f>IF(OR(TRIM(G402)="Yes",TRIM(G402)="YES",TRIM(G402)="Y",TRIM(G402)="yes"),"Yes","No")</f>
        <v>Yes</v>
      </c>
      <c r="J402" s="1" t="str">
        <f>IF(OR(TRIM(I402)="Yes",TRIM(I402)="YES",TRIM(I402)="Y",TRIM(I402)="yes"),"Yes","No")</f>
        <v>No</v>
      </c>
      <c r="K402" s="1" t="s">
        <v>5</v>
      </c>
      <c r="L402" s="1" t="str">
        <f>IF(C402="","Yes","No")</f>
        <v>No</v>
      </c>
      <c r="M402" s="1">
        <f>IF(C402="", "", C402 - B402)</f>
        <v>1</v>
      </c>
      <c r="N402" s="3">
        <f>DATE(YEAR(B402),MONTH(B402),1)</f>
        <v>45566</v>
      </c>
      <c r="O402" s="2">
        <f>DATE(YEAR(B402),MONTH(B402),1)</f>
        <v>45566</v>
      </c>
    </row>
    <row r="403" spans="1:15" x14ac:dyDescent="0.2">
      <c r="A403" s="1" t="s">
        <v>14</v>
      </c>
      <c r="B403" s="3">
        <v>45737</v>
      </c>
      <c r="C403" s="3">
        <v>45757</v>
      </c>
      <c r="D403" s="1" t="s">
        <v>19</v>
      </c>
      <c r="E403" s="1" t="str">
        <f>UPPER(TRIM(D403))</f>
        <v>DOC ERROR</v>
      </c>
      <c r="F403" s="1" t="s">
        <v>6</v>
      </c>
      <c r="G403" s="1" t="s">
        <v>0</v>
      </c>
      <c r="H403" s="1" t="str">
        <f>IF(OR(TRIM(G403)="Yes",TRIM(G403)="YES",TRIM(G403)="Y",TRIM(G403)="yes"),"Yes","No")</f>
        <v>Yes</v>
      </c>
      <c r="I403" s="1" t="s">
        <v>9</v>
      </c>
      <c r="J403" s="1" t="str">
        <f>IF(OR(TRIM(I403)="Yes",TRIM(I403)="YES",TRIM(I403)="Y",TRIM(I403)="yes"),"Yes","No")</f>
        <v>No</v>
      </c>
      <c r="L403" s="1" t="str">
        <f>IF(C403="","Yes","No")</f>
        <v>No</v>
      </c>
      <c r="M403" s="1">
        <f>IF(C403="", "", C403 - B403)</f>
        <v>20</v>
      </c>
      <c r="N403" s="3">
        <f>DATE(YEAR(B403),MONTH(B403),1)</f>
        <v>45717</v>
      </c>
      <c r="O403" s="2">
        <f>DATE(YEAR(B403),MONTH(B403),1)</f>
        <v>45717</v>
      </c>
    </row>
    <row r="404" spans="1:15" x14ac:dyDescent="0.2">
      <c r="A404" s="1" t="s">
        <v>104</v>
      </c>
      <c r="B404" s="3">
        <v>45718</v>
      </c>
      <c r="C404" s="3">
        <v>45719</v>
      </c>
      <c r="D404" s="1" t="s">
        <v>22</v>
      </c>
      <c r="E404" s="1" t="str">
        <f>UPPER(TRIM(D404))</f>
        <v>BILLING ISSUE</v>
      </c>
      <c r="G404" s="1" t="s">
        <v>9</v>
      </c>
      <c r="H404" s="1" t="str">
        <f>IF(OR(TRIM(G404)="Yes",TRIM(G404)="YES",TRIM(G404)="Y",TRIM(G404)="yes"),"Yes","No")</f>
        <v>No</v>
      </c>
      <c r="J404" s="1" t="str">
        <f>IF(OR(TRIM(I404)="Yes",TRIM(I404)="YES",TRIM(I404)="Y",TRIM(I404)="yes"),"Yes","No")</f>
        <v>No</v>
      </c>
      <c r="K404" s="1" t="s">
        <v>5</v>
      </c>
      <c r="L404" s="1" t="str">
        <f>IF(C404="","Yes","No")</f>
        <v>No</v>
      </c>
      <c r="M404" s="1">
        <f>IF(C404="", "", C404 - B404)</f>
        <v>1</v>
      </c>
      <c r="N404" s="3">
        <f>DATE(YEAR(B404),MONTH(B404),1)</f>
        <v>45717</v>
      </c>
      <c r="O404" s="2">
        <f>DATE(YEAR(B404),MONTH(B404),1)</f>
        <v>45717</v>
      </c>
    </row>
    <row r="405" spans="1:15" x14ac:dyDescent="0.2">
      <c r="A405" s="1" t="s">
        <v>103</v>
      </c>
      <c r="B405" s="3">
        <v>45600</v>
      </c>
      <c r="D405" s="1" t="s">
        <v>19</v>
      </c>
      <c r="E405" s="1" t="str">
        <f>UPPER(TRIM(D405))</f>
        <v>DOC ERROR</v>
      </c>
      <c r="F405" s="1" t="s">
        <v>2</v>
      </c>
      <c r="G405" s="1" t="s">
        <v>9</v>
      </c>
      <c r="H405" s="1" t="str">
        <f>IF(OR(TRIM(G405)="Yes",TRIM(G405)="YES",TRIM(G405)="Y",TRIM(G405)="yes"),"Yes","No")</f>
        <v>No</v>
      </c>
      <c r="J405" s="1" t="str">
        <f>IF(OR(TRIM(I405)="Yes",TRIM(I405)="YES",TRIM(I405)="Y",TRIM(I405)="yes"),"Yes","No")</f>
        <v>No</v>
      </c>
      <c r="L405" s="1" t="str">
        <f>IF(C405="","Yes","No")</f>
        <v>Yes</v>
      </c>
      <c r="M405" s="1" t="str">
        <f>IF(C405="", "", C405 - B405)</f>
        <v/>
      </c>
      <c r="N405" s="3">
        <f>DATE(YEAR(B405),MONTH(B405),1)</f>
        <v>45597</v>
      </c>
      <c r="O405" s="2">
        <f>DATE(YEAR(B405),MONTH(B405),1)</f>
        <v>45597</v>
      </c>
    </row>
    <row r="406" spans="1:15" x14ac:dyDescent="0.2">
      <c r="A406" s="1" t="s">
        <v>102</v>
      </c>
      <c r="B406" s="3">
        <v>45610</v>
      </c>
      <c r="D406" s="1" t="s">
        <v>33</v>
      </c>
      <c r="E406" s="1" t="str">
        <f>UPPER(TRIM(D406))</f>
        <v>POLICY UPDATE</v>
      </c>
      <c r="F406" s="1" t="s">
        <v>2</v>
      </c>
      <c r="G406" s="1" t="s">
        <v>1</v>
      </c>
      <c r="H406" s="1" t="str">
        <f>IF(OR(TRIM(G406)="Yes",TRIM(G406)="YES",TRIM(G406)="Y",TRIM(G406)="yes"),"Yes","No")</f>
        <v>Yes</v>
      </c>
      <c r="J406" s="1" t="str">
        <f>IF(OR(TRIM(I406)="Yes",TRIM(I406)="YES",TRIM(I406)="Y",TRIM(I406)="yes"),"Yes","No")</f>
        <v>No</v>
      </c>
      <c r="K406" s="1" t="s">
        <v>5</v>
      </c>
      <c r="L406" s="1" t="str">
        <f>IF(C406="","Yes","No")</f>
        <v>Yes</v>
      </c>
      <c r="M406" s="1" t="str">
        <f>IF(C406="", "", C406 - B406)</f>
        <v/>
      </c>
      <c r="N406" s="3">
        <f>DATE(YEAR(B406),MONTH(B406),1)</f>
        <v>45597</v>
      </c>
      <c r="O406" s="2">
        <f>DATE(YEAR(B406),MONTH(B406),1)</f>
        <v>45597</v>
      </c>
    </row>
    <row r="407" spans="1:15" x14ac:dyDescent="0.2">
      <c r="A407" s="1" t="s">
        <v>34</v>
      </c>
      <c r="B407" s="3">
        <v>45708</v>
      </c>
      <c r="C407" s="3">
        <v>45717</v>
      </c>
      <c r="D407" s="1" t="s">
        <v>7</v>
      </c>
      <c r="E407" s="1" t="str">
        <f>UPPER(TRIM(D407))</f>
        <v>BILLING ISSUE</v>
      </c>
      <c r="F407" s="1" t="s">
        <v>21</v>
      </c>
      <c r="G407" s="1" t="s">
        <v>9</v>
      </c>
      <c r="H407" s="1" t="str">
        <f>IF(OR(TRIM(G407)="Yes",TRIM(G407)="YES",TRIM(G407)="Y",TRIM(G407)="yes"),"Yes","No")</f>
        <v>No</v>
      </c>
      <c r="J407" s="1" t="str">
        <f>IF(OR(TRIM(I407)="Yes",TRIM(I407)="YES",TRIM(I407)="Y",TRIM(I407)="yes"),"Yes","No")</f>
        <v>No</v>
      </c>
      <c r="L407" s="1" t="str">
        <f>IF(C407="","Yes","No")</f>
        <v>No</v>
      </c>
      <c r="M407" s="1">
        <f>IF(C407="", "", C407 - B407)</f>
        <v>9</v>
      </c>
      <c r="N407" s="3">
        <f>DATE(YEAR(B407),MONTH(B407),1)</f>
        <v>45689</v>
      </c>
      <c r="O407" s="2">
        <f>DATE(YEAR(B407),MONTH(B407),1)</f>
        <v>45689</v>
      </c>
    </row>
    <row r="408" spans="1:15" x14ac:dyDescent="0.2">
      <c r="A408" s="1" t="s">
        <v>90</v>
      </c>
      <c r="B408" s="3">
        <v>45695</v>
      </c>
      <c r="C408" s="3">
        <v>45701</v>
      </c>
      <c r="D408" s="1" t="s">
        <v>24</v>
      </c>
      <c r="E408" s="1" t="str">
        <f>UPPER(TRIM(D408))</f>
        <v>BILLING ISSUE</v>
      </c>
      <c r="F408" s="1" t="s">
        <v>21</v>
      </c>
      <c r="G408" s="1" t="s">
        <v>16</v>
      </c>
      <c r="H408" s="1" t="str">
        <f>IF(OR(TRIM(G408)="Yes",TRIM(G408)="YES",TRIM(G408)="Y",TRIM(G408)="yes"),"Yes","No")</f>
        <v>No</v>
      </c>
      <c r="I408" s="1" t="s">
        <v>9</v>
      </c>
      <c r="J408" s="1" t="str">
        <f>IF(OR(TRIM(I408)="Yes",TRIM(I408)="YES",TRIM(I408)="Y",TRIM(I408)="yes"),"Yes","No")</f>
        <v>No</v>
      </c>
      <c r="K408" s="1" t="s">
        <v>5</v>
      </c>
      <c r="L408" s="1" t="str">
        <f>IF(C408="","Yes","No")</f>
        <v>No</v>
      </c>
      <c r="M408" s="1">
        <f>IF(C408="", "", C408 - B408)</f>
        <v>6</v>
      </c>
      <c r="N408" s="3">
        <f>DATE(YEAR(B408),MONTH(B408),1)</f>
        <v>45689</v>
      </c>
      <c r="O408" s="2">
        <f>DATE(YEAR(B408),MONTH(B408),1)</f>
        <v>45689</v>
      </c>
    </row>
    <row r="409" spans="1:15" x14ac:dyDescent="0.2">
      <c r="A409" s="1" t="s">
        <v>91</v>
      </c>
      <c r="B409" s="3">
        <v>45721</v>
      </c>
      <c r="C409" s="3">
        <v>45733</v>
      </c>
      <c r="D409" s="1" t="s">
        <v>33</v>
      </c>
      <c r="E409" s="1" t="str">
        <f>UPPER(TRIM(D409))</f>
        <v>POLICY UPDATE</v>
      </c>
      <c r="F409" s="1" t="s">
        <v>2</v>
      </c>
      <c r="G409" s="1" t="s">
        <v>12</v>
      </c>
      <c r="H409" s="1" t="str">
        <f>IF(OR(TRIM(G409)="Yes",TRIM(G409)="YES",TRIM(G409)="Y",TRIM(G409)="yes"),"Yes","No")</f>
        <v>No</v>
      </c>
      <c r="J409" s="1" t="str">
        <f>IF(OR(TRIM(I409)="Yes",TRIM(I409)="YES",TRIM(I409)="Y",TRIM(I409)="yes"),"Yes","No")</f>
        <v>No</v>
      </c>
      <c r="K409" s="1" t="s">
        <v>15</v>
      </c>
      <c r="L409" s="1" t="str">
        <f>IF(C409="","Yes","No")</f>
        <v>No</v>
      </c>
      <c r="M409" s="1">
        <f>IF(C409="", "", C409 - B409)</f>
        <v>12</v>
      </c>
      <c r="N409" s="3">
        <f>DATE(YEAR(B409),MONTH(B409),1)</f>
        <v>45717</v>
      </c>
      <c r="O409" s="2">
        <f>DATE(YEAR(B409),MONTH(B409),1)</f>
        <v>45717</v>
      </c>
    </row>
    <row r="410" spans="1:15" x14ac:dyDescent="0.2">
      <c r="A410" s="1" t="s">
        <v>101</v>
      </c>
      <c r="B410" s="3">
        <v>45700</v>
      </c>
      <c r="D410" s="1" t="s">
        <v>19</v>
      </c>
      <c r="E410" s="1" t="str">
        <f>UPPER(TRIM(D410))</f>
        <v>DOC ERROR</v>
      </c>
      <c r="G410" s="1" t="s">
        <v>1</v>
      </c>
      <c r="H410" s="1" t="str">
        <f>IF(OR(TRIM(G410)="Yes",TRIM(G410)="YES",TRIM(G410)="Y",TRIM(G410)="yes"),"Yes","No")</f>
        <v>Yes</v>
      </c>
      <c r="J410" s="1" t="str">
        <f>IF(OR(TRIM(I410)="Yes",TRIM(I410)="YES",TRIM(I410)="Y",TRIM(I410)="yes"),"Yes","No")</f>
        <v>No</v>
      </c>
      <c r="L410" s="1" t="str">
        <f>IF(C410="","Yes","No")</f>
        <v>Yes</v>
      </c>
      <c r="M410" s="1" t="str">
        <f>IF(C410="", "", C410 - B410)</f>
        <v/>
      </c>
      <c r="N410" s="3">
        <f>DATE(YEAR(B410),MONTH(B410),1)</f>
        <v>45689</v>
      </c>
      <c r="O410" s="2">
        <f>DATE(YEAR(B410),MONTH(B410),1)</f>
        <v>45689</v>
      </c>
    </row>
    <row r="411" spans="1:15" x14ac:dyDescent="0.2">
      <c r="A411" s="1" t="s">
        <v>100</v>
      </c>
      <c r="B411" s="3">
        <v>45717</v>
      </c>
      <c r="C411" s="3">
        <v>45729</v>
      </c>
      <c r="D411" s="1" t="s">
        <v>44</v>
      </c>
      <c r="E411" s="1" t="str">
        <f>UPPER(TRIM(D411))</f>
        <v>COMMUNICATION DELAY</v>
      </c>
      <c r="G411" s="1" t="s">
        <v>47</v>
      </c>
      <c r="H411" s="1" t="str">
        <f>IF(OR(TRIM(G411)="Yes",TRIM(G411)="YES",TRIM(G411)="Y",TRIM(G411)="yes"),"Yes","No")</f>
        <v>Yes</v>
      </c>
      <c r="I411" s="1" t="s">
        <v>16</v>
      </c>
      <c r="J411" s="1" t="str">
        <f>IF(OR(TRIM(I411)="Yes",TRIM(I411)="YES",TRIM(I411)="Y",TRIM(I411)="yes"),"Yes","No")</f>
        <v>No</v>
      </c>
      <c r="K411" s="1" t="s">
        <v>5</v>
      </c>
      <c r="L411" s="1" t="str">
        <f>IF(C411="","Yes","No")</f>
        <v>No</v>
      </c>
      <c r="M411" s="1">
        <f>IF(C411="", "", C411 - B411)</f>
        <v>12</v>
      </c>
      <c r="N411" s="3">
        <f>DATE(YEAR(B411),MONTH(B411),1)</f>
        <v>45717</v>
      </c>
      <c r="O411" s="2">
        <f>DATE(YEAR(B411),MONTH(B411),1)</f>
        <v>45717</v>
      </c>
    </row>
    <row r="412" spans="1:15" x14ac:dyDescent="0.2">
      <c r="A412" s="1" t="s">
        <v>99</v>
      </c>
      <c r="B412" s="3">
        <v>45756</v>
      </c>
      <c r="C412" s="3">
        <v>45770</v>
      </c>
      <c r="D412" s="1" t="s">
        <v>19</v>
      </c>
      <c r="E412" s="1" t="str">
        <f>UPPER(TRIM(D412))</f>
        <v>DOC ERROR</v>
      </c>
      <c r="H412" s="1" t="str">
        <f>IF(OR(TRIM(G412)="Yes",TRIM(G412)="YES",TRIM(G412)="Y",TRIM(G412)="yes"),"Yes","No")</f>
        <v>No</v>
      </c>
      <c r="I412" s="1" t="s">
        <v>1</v>
      </c>
      <c r="J412" s="1" t="str">
        <f>IF(OR(TRIM(I412)="Yes",TRIM(I412)="YES",TRIM(I412)="Y",TRIM(I412)="yes"),"Yes","No")</f>
        <v>Yes</v>
      </c>
      <c r="L412" s="1" t="str">
        <f>IF(C412="","Yes","No")</f>
        <v>No</v>
      </c>
      <c r="M412" s="1">
        <f>IF(C412="", "", C412 - B412)</f>
        <v>14</v>
      </c>
      <c r="N412" s="3">
        <f>DATE(YEAR(B412),MONTH(B412),1)</f>
        <v>45748</v>
      </c>
      <c r="O412" s="2">
        <f>DATE(YEAR(B412),MONTH(B412),1)</f>
        <v>45748</v>
      </c>
    </row>
    <row r="413" spans="1:15" x14ac:dyDescent="0.2">
      <c r="A413" s="1" t="s">
        <v>59</v>
      </c>
      <c r="B413" s="3">
        <v>45667</v>
      </c>
      <c r="C413" s="3">
        <v>45682</v>
      </c>
      <c r="D413" s="1" t="s">
        <v>19</v>
      </c>
      <c r="E413" s="1" t="str">
        <f>UPPER(TRIM(D413))</f>
        <v>DOC ERROR</v>
      </c>
      <c r="G413" s="1" t="s">
        <v>9</v>
      </c>
      <c r="H413" s="1" t="str">
        <f>IF(OR(TRIM(G413)="Yes",TRIM(G413)="YES",TRIM(G413)="Y",TRIM(G413)="yes"),"Yes","No")</f>
        <v>No</v>
      </c>
      <c r="I413" s="1" t="s">
        <v>0</v>
      </c>
      <c r="J413" s="1" t="str">
        <f>IF(OR(TRIM(I413)="Yes",TRIM(I413)="YES",TRIM(I413)="Y",TRIM(I413)="yes"),"Yes","No")</f>
        <v>Yes</v>
      </c>
      <c r="L413" s="1" t="str">
        <f>IF(C413="","Yes","No")</f>
        <v>No</v>
      </c>
      <c r="M413" s="1">
        <f>IF(C413="", "", C413 - B413)</f>
        <v>15</v>
      </c>
      <c r="N413" s="3">
        <f>DATE(YEAR(B413),MONTH(B413),1)</f>
        <v>45658</v>
      </c>
      <c r="O413" s="2">
        <f>DATE(YEAR(B413),MONTH(B413),1)</f>
        <v>45658</v>
      </c>
    </row>
    <row r="414" spans="1:15" x14ac:dyDescent="0.2">
      <c r="A414" s="1" t="s">
        <v>31</v>
      </c>
      <c r="B414" s="3">
        <v>45669</v>
      </c>
      <c r="C414" s="3">
        <v>45680</v>
      </c>
      <c r="D414" s="1" t="s">
        <v>22</v>
      </c>
      <c r="E414" s="1" t="str">
        <f>UPPER(TRIM(D414))</f>
        <v>BILLING ISSUE</v>
      </c>
      <c r="F414" s="1" t="s">
        <v>21</v>
      </c>
      <c r="G414" s="1" t="s">
        <v>1</v>
      </c>
      <c r="H414" s="1" t="str">
        <f>IF(OR(TRIM(G414)="Yes",TRIM(G414)="YES",TRIM(G414)="Y",TRIM(G414)="yes"),"Yes","No")</f>
        <v>Yes</v>
      </c>
      <c r="J414" s="1" t="str">
        <f>IF(OR(TRIM(I414)="Yes",TRIM(I414)="YES",TRIM(I414)="Y",TRIM(I414)="yes"),"Yes","No")</f>
        <v>No</v>
      </c>
      <c r="K414" s="1" t="s">
        <v>29</v>
      </c>
      <c r="L414" s="1" t="str">
        <f>IF(C414="","Yes","No")</f>
        <v>No</v>
      </c>
      <c r="M414" s="1">
        <f>IF(C414="", "", C414 - B414)</f>
        <v>11</v>
      </c>
      <c r="N414" s="3">
        <f>DATE(YEAR(B414),MONTH(B414),1)</f>
        <v>45658</v>
      </c>
      <c r="O414" s="2">
        <f>DATE(YEAR(B414),MONTH(B414),1)</f>
        <v>45658</v>
      </c>
    </row>
    <row r="415" spans="1:15" x14ac:dyDescent="0.2">
      <c r="A415" s="1" t="s">
        <v>8</v>
      </c>
      <c r="B415" s="3">
        <v>45600</v>
      </c>
      <c r="C415" s="3">
        <v>45618</v>
      </c>
      <c r="D415" s="1" t="s">
        <v>7</v>
      </c>
      <c r="E415" s="1" t="str">
        <f>UPPER(TRIM(D415))</f>
        <v>BILLING ISSUE</v>
      </c>
      <c r="F415" s="1" t="s">
        <v>18</v>
      </c>
      <c r="G415" s="1" t="s">
        <v>0</v>
      </c>
      <c r="H415" s="1" t="str">
        <f>IF(OR(TRIM(G415)="Yes",TRIM(G415)="YES",TRIM(G415)="Y",TRIM(G415)="yes"),"Yes","No")</f>
        <v>Yes</v>
      </c>
      <c r="I415" s="1" t="s">
        <v>1</v>
      </c>
      <c r="J415" s="1" t="str">
        <f>IF(OR(TRIM(I415)="Yes",TRIM(I415)="YES",TRIM(I415)="Y",TRIM(I415)="yes"),"Yes","No")</f>
        <v>Yes</v>
      </c>
      <c r="K415" s="1" t="s">
        <v>5</v>
      </c>
      <c r="L415" s="1" t="str">
        <f>IF(C415="","Yes","No")</f>
        <v>No</v>
      </c>
      <c r="M415" s="1">
        <f>IF(C415="", "", C415 - B415)</f>
        <v>18</v>
      </c>
      <c r="N415" s="3">
        <f>DATE(YEAR(B415),MONTH(B415),1)</f>
        <v>45597</v>
      </c>
      <c r="O415" s="2">
        <f>DATE(YEAR(B415),MONTH(B415),1)</f>
        <v>45597</v>
      </c>
    </row>
    <row r="416" spans="1:15" x14ac:dyDescent="0.2">
      <c r="A416" s="1" t="s">
        <v>98</v>
      </c>
      <c r="B416" s="3">
        <v>45645</v>
      </c>
      <c r="C416" s="3">
        <v>45649</v>
      </c>
      <c r="D416" s="1" t="s">
        <v>22</v>
      </c>
      <c r="E416" s="1" t="str">
        <f>UPPER(TRIM(D416))</f>
        <v>BILLING ISSUE</v>
      </c>
      <c r="G416" s="1" t="s">
        <v>16</v>
      </c>
      <c r="H416" s="1" t="str">
        <f>IF(OR(TRIM(G416)="Yes",TRIM(G416)="YES",TRIM(G416)="Y",TRIM(G416)="yes"),"Yes","No")</f>
        <v>No</v>
      </c>
      <c r="I416" s="1" t="s">
        <v>16</v>
      </c>
      <c r="J416" s="1" t="str">
        <f>IF(OR(TRIM(I416)="Yes",TRIM(I416)="YES",TRIM(I416)="Y",TRIM(I416)="yes"),"Yes","No")</f>
        <v>No</v>
      </c>
      <c r="K416" s="1" t="s">
        <v>15</v>
      </c>
      <c r="L416" s="1" t="str">
        <f>IF(C416="","Yes","No")</f>
        <v>No</v>
      </c>
      <c r="M416" s="1">
        <f>IF(C416="", "", C416 - B416)</f>
        <v>4</v>
      </c>
      <c r="N416" s="3">
        <f>DATE(YEAR(B416),MONTH(B416),1)</f>
        <v>45627</v>
      </c>
      <c r="O416" s="2">
        <f>DATE(YEAR(B416),MONTH(B416),1)</f>
        <v>45627</v>
      </c>
    </row>
    <row r="417" spans="1:15" x14ac:dyDescent="0.2">
      <c r="A417" s="1" t="s">
        <v>97</v>
      </c>
      <c r="B417" s="3">
        <v>45581</v>
      </c>
      <c r="C417" s="3">
        <v>45591</v>
      </c>
      <c r="D417" s="1" t="s">
        <v>22</v>
      </c>
      <c r="E417" s="1" t="str">
        <f>UPPER(TRIM(D417))</f>
        <v>BILLING ISSUE</v>
      </c>
      <c r="G417" s="1" t="s">
        <v>9</v>
      </c>
      <c r="H417" s="1" t="str">
        <f>IF(OR(TRIM(G417)="Yes",TRIM(G417)="YES",TRIM(G417)="Y",TRIM(G417)="yes"),"Yes","No")</f>
        <v>No</v>
      </c>
      <c r="I417" s="1" t="s">
        <v>9</v>
      </c>
      <c r="J417" s="1" t="str">
        <f>IF(OR(TRIM(I417)="Yes",TRIM(I417)="YES",TRIM(I417)="Y",TRIM(I417)="yes"),"Yes","No")</f>
        <v>No</v>
      </c>
      <c r="L417" s="1" t="str">
        <f>IF(C417="","Yes","No")</f>
        <v>No</v>
      </c>
      <c r="M417" s="1">
        <f>IF(C417="", "", C417 - B417)</f>
        <v>10</v>
      </c>
      <c r="N417" s="3">
        <f>DATE(YEAR(B417),MONTH(B417),1)</f>
        <v>45566</v>
      </c>
      <c r="O417" s="2">
        <f>DATE(YEAR(B417),MONTH(B417),1)</f>
        <v>45566</v>
      </c>
    </row>
    <row r="418" spans="1:15" x14ac:dyDescent="0.2">
      <c r="A418" s="1" t="s">
        <v>39</v>
      </c>
      <c r="B418" s="3">
        <v>45745</v>
      </c>
      <c r="C418" s="3">
        <v>45754</v>
      </c>
      <c r="D418" s="1" t="s">
        <v>27</v>
      </c>
      <c r="E418" s="1" t="str">
        <f>UPPER(TRIM(D418))</f>
        <v>SERVICE DELAY</v>
      </c>
      <c r="F418" s="1" t="s">
        <v>6</v>
      </c>
      <c r="G418" s="1" t="s">
        <v>47</v>
      </c>
      <c r="H418" s="1" t="str">
        <f>IF(OR(TRIM(G418)="Yes",TRIM(G418)="YES",TRIM(G418)="Y",TRIM(G418)="yes"),"Yes","No")</f>
        <v>Yes</v>
      </c>
      <c r="J418" s="1" t="str">
        <f>IF(OR(TRIM(I418)="Yes",TRIM(I418)="YES",TRIM(I418)="Y",TRIM(I418)="yes"),"Yes","No")</f>
        <v>No</v>
      </c>
      <c r="K418" s="1" t="s">
        <v>29</v>
      </c>
      <c r="L418" s="1" t="str">
        <f>IF(C418="","Yes","No")</f>
        <v>No</v>
      </c>
      <c r="M418" s="1">
        <f>IF(C418="", "", C418 - B418)</f>
        <v>9</v>
      </c>
      <c r="N418" s="3">
        <f>DATE(YEAR(B418),MONTH(B418),1)</f>
        <v>45717</v>
      </c>
      <c r="O418" s="2">
        <f>DATE(YEAR(B418),MONTH(B418),1)</f>
        <v>45717</v>
      </c>
    </row>
    <row r="419" spans="1:15" x14ac:dyDescent="0.2">
      <c r="A419" s="1" t="s">
        <v>96</v>
      </c>
      <c r="B419" s="3">
        <v>45681</v>
      </c>
      <c r="C419" s="3">
        <v>45692</v>
      </c>
      <c r="D419" s="1" t="s">
        <v>24</v>
      </c>
      <c r="E419" s="1" t="str">
        <f>UPPER(TRIM(D419))</f>
        <v>BILLING ISSUE</v>
      </c>
      <c r="F419" s="1" t="s">
        <v>6</v>
      </c>
      <c r="G419" s="1" t="s">
        <v>0</v>
      </c>
      <c r="H419" s="1" t="str">
        <f>IF(OR(TRIM(G419)="Yes",TRIM(G419)="YES",TRIM(G419)="Y",TRIM(G419)="yes"),"Yes","No")</f>
        <v>Yes</v>
      </c>
      <c r="J419" s="1" t="str">
        <f>IF(OR(TRIM(I419)="Yes",TRIM(I419)="YES",TRIM(I419)="Y",TRIM(I419)="yes"),"Yes","No")</f>
        <v>No</v>
      </c>
      <c r="L419" s="1" t="str">
        <f>IF(C419="","Yes","No")</f>
        <v>No</v>
      </c>
      <c r="M419" s="1">
        <f>IF(C419="", "", C419 - B419)</f>
        <v>11</v>
      </c>
      <c r="N419" s="3">
        <f>DATE(YEAR(B419),MONTH(B419),1)</f>
        <v>45658</v>
      </c>
      <c r="O419" s="2">
        <f>DATE(YEAR(B419),MONTH(B419),1)</f>
        <v>45658</v>
      </c>
    </row>
    <row r="420" spans="1:15" x14ac:dyDescent="0.2">
      <c r="A420" s="1" t="s">
        <v>95</v>
      </c>
      <c r="B420" s="3">
        <v>45696</v>
      </c>
      <c r="C420" s="3">
        <v>45715</v>
      </c>
      <c r="D420" s="1" t="s">
        <v>44</v>
      </c>
      <c r="E420" s="1" t="str">
        <f>UPPER(TRIM(D420))</f>
        <v>COMMUNICATION DELAY</v>
      </c>
      <c r="F420" s="1" t="s">
        <v>6</v>
      </c>
      <c r="G420" s="1" t="s">
        <v>16</v>
      </c>
      <c r="H420" s="1" t="str">
        <f>IF(OR(TRIM(G420)="Yes",TRIM(G420)="YES",TRIM(G420)="Y",TRIM(G420)="yes"),"Yes","No")</f>
        <v>No</v>
      </c>
      <c r="I420" s="1" t="s">
        <v>16</v>
      </c>
      <c r="J420" s="1" t="str">
        <f>IF(OR(TRIM(I420)="Yes",TRIM(I420)="YES",TRIM(I420)="Y",TRIM(I420)="yes"),"Yes","No")</f>
        <v>No</v>
      </c>
      <c r="L420" s="1" t="str">
        <f>IF(C420="","Yes","No")</f>
        <v>No</v>
      </c>
      <c r="M420" s="1">
        <f>IF(C420="", "", C420 - B420)</f>
        <v>19</v>
      </c>
      <c r="N420" s="3">
        <f>DATE(YEAR(B420),MONTH(B420),1)</f>
        <v>45689</v>
      </c>
      <c r="O420" s="2">
        <f>DATE(YEAR(B420),MONTH(B420),1)</f>
        <v>45689</v>
      </c>
    </row>
    <row r="421" spans="1:15" x14ac:dyDescent="0.2">
      <c r="A421" s="1" t="s">
        <v>94</v>
      </c>
      <c r="B421" s="3">
        <v>45700</v>
      </c>
      <c r="D421" s="1" t="s">
        <v>7</v>
      </c>
      <c r="E421" s="1" t="str">
        <f>UPPER(TRIM(D421))</f>
        <v>BILLING ISSUE</v>
      </c>
      <c r="G421" s="1" t="s">
        <v>0</v>
      </c>
      <c r="H421" s="1" t="str">
        <f>IF(OR(TRIM(G421)="Yes",TRIM(G421)="YES",TRIM(G421)="Y",TRIM(G421)="yes"),"Yes","No")</f>
        <v>Yes</v>
      </c>
      <c r="J421" s="1" t="str">
        <f>IF(OR(TRIM(I421)="Yes",TRIM(I421)="YES",TRIM(I421)="Y",TRIM(I421)="yes"),"Yes","No")</f>
        <v>No</v>
      </c>
      <c r="L421" s="1" t="str">
        <f>IF(C421="","Yes","No")</f>
        <v>Yes</v>
      </c>
      <c r="M421" s="1" t="str">
        <f>IF(C421="", "", C421 - B421)</f>
        <v/>
      </c>
      <c r="N421" s="3">
        <f>DATE(YEAR(B421),MONTH(B421),1)</f>
        <v>45689</v>
      </c>
      <c r="O421" s="2">
        <f>DATE(YEAR(B421),MONTH(B421),1)</f>
        <v>45689</v>
      </c>
    </row>
    <row r="422" spans="1:15" x14ac:dyDescent="0.2">
      <c r="A422" s="1" t="s">
        <v>67</v>
      </c>
      <c r="B422" s="3">
        <v>45613</v>
      </c>
      <c r="D422" s="1" t="s">
        <v>27</v>
      </c>
      <c r="E422" s="1" t="str">
        <f>UPPER(TRIM(D422))</f>
        <v>SERVICE DELAY</v>
      </c>
      <c r="F422" s="1" t="s">
        <v>18</v>
      </c>
      <c r="H422" s="1" t="str">
        <f>IF(OR(TRIM(G422)="Yes",TRIM(G422)="YES",TRIM(G422)="Y",TRIM(G422)="yes"),"Yes","No")</f>
        <v>No</v>
      </c>
      <c r="I422" s="1" t="s">
        <v>1</v>
      </c>
      <c r="J422" s="1" t="str">
        <f>IF(OR(TRIM(I422)="Yes",TRIM(I422)="YES",TRIM(I422)="Y",TRIM(I422)="yes"),"Yes","No")</f>
        <v>Yes</v>
      </c>
      <c r="K422" s="1" t="s">
        <v>29</v>
      </c>
      <c r="L422" s="1" t="str">
        <f>IF(C422="","Yes","No")</f>
        <v>Yes</v>
      </c>
      <c r="M422" s="1" t="str">
        <f>IF(C422="", "", C422 - B422)</f>
        <v/>
      </c>
      <c r="N422" s="3">
        <f>DATE(YEAR(B422),MONTH(B422),1)</f>
        <v>45597</v>
      </c>
      <c r="O422" s="2">
        <f>DATE(YEAR(B422),MONTH(B422),1)</f>
        <v>45597</v>
      </c>
    </row>
    <row r="423" spans="1:15" x14ac:dyDescent="0.2">
      <c r="A423" s="1" t="s">
        <v>93</v>
      </c>
      <c r="B423" s="3">
        <v>45707</v>
      </c>
      <c r="C423" s="3">
        <v>45719</v>
      </c>
      <c r="D423" s="1" t="s">
        <v>44</v>
      </c>
      <c r="E423" s="1" t="str">
        <f>UPPER(TRIM(D423))</f>
        <v>COMMUNICATION DELAY</v>
      </c>
      <c r="F423" s="1" t="s">
        <v>6</v>
      </c>
      <c r="H423" s="1" t="str">
        <f>IF(OR(TRIM(G423)="Yes",TRIM(G423)="YES",TRIM(G423)="Y",TRIM(G423)="yes"),"Yes","No")</f>
        <v>No</v>
      </c>
      <c r="I423" s="1" t="s">
        <v>0</v>
      </c>
      <c r="J423" s="1" t="str">
        <f>IF(OR(TRIM(I423)="Yes",TRIM(I423)="YES",TRIM(I423)="Y",TRIM(I423)="yes"),"Yes","No")</f>
        <v>Yes</v>
      </c>
      <c r="K423" s="1" t="s">
        <v>15</v>
      </c>
      <c r="L423" s="1" t="str">
        <f>IF(C423="","Yes","No")</f>
        <v>No</v>
      </c>
      <c r="M423" s="1">
        <f>IF(C423="", "", C423 - B423)</f>
        <v>12</v>
      </c>
      <c r="N423" s="3">
        <f>DATE(YEAR(B423),MONTH(B423),1)</f>
        <v>45689</v>
      </c>
      <c r="O423" s="2">
        <f>DATE(YEAR(B423),MONTH(B423),1)</f>
        <v>45689</v>
      </c>
    </row>
    <row r="424" spans="1:15" x14ac:dyDescent="0.2">
      <c r="A424" s="1" t="s">
        <v>92</v>
      </c>
      <c r="B424" s="3">
        <v>45742</v>
      </c>
      <c r="C424" s="3">
        <v>45761</v>
      </c>
      <c r="D424" s="1" t="s">
        <v>3</v>
      </c>
      <c r="E424" s="1" t="str">
        <f>UPPER(TRIM(D424))</f>
        <v>COMMUNICATION DELAY</v>
      </c>
      <c r="H424" s="1" t="str">
        <f>IF(OR(TRIM(G424)="Yes",TRIM(G424)="YES",TRIM(G424)="Y",TRIM(G424)="yes"),"Yes","No")</f>
        <v>No</v>
      </c>
      <c r="I424" s="1" t="s">
        <v>16</v>
      </c>
      <c r="J424" s="1" t="str">
        <f>IF(OR(TRIM(I424)="Yes",TRIM(I424)="YES",TRIM(I424)="Y",TRIM(I424)="yes"),"Yes","No")</f>
        <v>No</v>
      </c>
      <c r="K424" s="1" t="s">
        <v>29</v>
      </c>
      <c r="L424" s="1" t="str">
        <f>IF(C424="","Yes","No")</f>
        <v>No</v>
      </c>
      <c r="M424" s="1">
        <f>IF(C424="", "", C424 - B424)</f>
        <v>19</v>
      </c>
      <c r="N424" s="3">
        <f>DATE(YEAR(B424),MONTH(B424),1)</f>
        <v>45717</v>
      </c>
      <c r="O424" s="2">
        <f>DATE(YEAR(B424),MONTH(B424),1)</f>
        <v>45717</v>
      </c>
    </row>
    <row r="425" spans="1:15" x14ac:dyDescent="0.2">
      <c r="A425" s="1" t="s">
        <v>91</v>
      </c>
      <c r="B425" s="3">
        <v>45635</v>
      </c>
      <c r="D425" s="1" t="s">
        <v>24</v>
      </c>
      <c r="E425" s="1" t="str">
        <f>UPPER(TRIM(D425))</f>
        <v>BILLING ISSUE</v>
      </c>
      <c r="G425" s="1" t="s">
        <v>0</v>
      </c>
      <c r="H425" s="1" t="str">
        <f>IF(OR(TRIM(G425)="Yes",TRIM(G425)="YES",TRIM(G425)="Y",TRIM(G425)="yes"),"Yes","No")</f>
        <v>Yes</v>
      </c>
      <c r="I425" s="1" t="s">
        <v>9</v>
      </c>
      <c r="J425" s="1" t="str">
        <f>IF(OR(TRIM(I425)="Yes",TRIM(I425)="YES",TRIM(I425)="Y",TRIM(I425)="yes"),"Yes","No")</f>
        <v>No</v>
      </c>
      <c r="K425" s="1" t="s">
        <v>5</v>
      </c>
      <c r="L425" s="1" t="str">
        <f>IF(C425="","Yes","No")</f>
        <v>Yes</v>
      </c>
      <c r="M425" s="1" t="str">
        <f>IF(C425="", "", C425 - B425)</f>
        <v/>
      </c>
      <c r="N425" s="3">
        <f>DATE(YEAR(B425),MONTH(B425),1)</f>
        <v>45627</v>
      </c>
      <c r="O425" s="2">
        <f>DATE(YEAR(B425),MONTH(B425),1)</f>
        <v>45627</v>
      </c>
    </row>
    <row r="426" spans="1:15" x14ac:dyDescent="0.2">
      <c r="A426" s="1" t="s">
        <v>32</v>
      </c>
      <c r="B426" s="3">
        <v>45744</v>
      </c>
      <c r="C426" s="3">
        <v>45758</v>
      </c>
      <c r="D426" s="1" t="s">
        <v>3</v>
      </c>
      <c r="E426" s="1" t="str">
        <f>UPPER(TRIM(D426))</f>
        <v>COMMUNICATION DELAY</v>
      </c>
      <c r="F426" s="1" t="s">
        <v>2</v>
      </c>
      <c r="G426" s="1" t="s">
        <v>12</v>
      </c>
      <c r="H426" s="1" t="str">
        <f>IF(OR(TRIM(G426)="Yes",TRIM(G426)="YES",TRIM(G426)="Y",TRIM(G426)="yes"),"Yes","No")</f>
        <v>No</v>
      </c>
      <c r="J426" s="1" t="str">
        <f>IF(OR(TRIM(I426)="Yes",TRIM(I426)="YES",TRIM(I426)="Y",TRIM(I426)="yes"),"Yes","No")</f>
        <v>No</v>
      </c>
      <c r="L426" s="1" t="str">
        <f>IF(C426="","Yes","No")</f>
        <v>No</v>
      </c>
      <c r="M426" s="1">
        <f>IF(C426="", "", C426 - B426)</f>
        <v>14</v>
      </c>
      <c r="N426" s="3">
        <f>DATE(YEAR(B426),MONTH(B426),1)</f>
        <v>45717</v>
      </c>
      <c r="O426" s="2">
        <f>DATE(YEAR(B426),MONTH(B426),1)</f>
        <v>45717</v>
      </c>
    </row>
    <row r="427" spans="1:15" x14ac:dyDescent="0.2">
      <c r="A427" s="1" t="s">
        <v>90</v>
      </c>
      <c r="B427" s="3">
        <v>45715</v>
      </c>
      <c r="C427" s="3">
        <v>45718</v>
      </c>
      <c r="D427" s="1" t="s">
        <v>27</v>
      </c>
      <c r="E427" s="1" t="str">
        <f>UPPER(TRIM(D427))</f>
        <v>SERVICE DELAY</v>
      </c>
      <c r="G427" s="1" t="s">
        <v>47</v>
      </c>
      <c r="H427" s="1" t="str">
        <f>IF(OR(TRIM(G427)="Yes",TRIM(G427)="YES",TRIM(G427)="Y",TRIM(G427)="yes"),"Yes","No")</f>
        <v>Yes</v>
      </c>
      <c r="J427" s="1" t="str">
        <f>IF(OR(TRIM(I427)="Yes",TRIM(I427)="YES",TRIM(I427)="Y",TRIM(I427)="yes"),"Yes","No")</f>
        <v>No</v>
      </c>
      <c r="K427" s="1" t="s">
        <v>5</v>
      </c>
      <c r="L427" s="1" t="str">
        <f>IF(C427="","Yes","No")</f>
        <v>No</v>
      </c>
      <c r="M427" s="1">
        <f>IF(C427="", "", C427 - B427)</f>
        <v>3</v>
      </c>
      <c r="N427" s="3">
        <f>DATE(YEAR(B427),MONTH(B427),1)</f>
        <v>45689</v>
      </c>
      <c r="O427" s="2">
        <f>DATE(YEAR(B427),MONTH(B427),1)</f>
        <v>45689</v>
      </c>
    </row>
    <row r="428" spans="1:15" x14ac:dyDescent="0.2">
      <c r="A428" s="1" t="s">
        <v>89</v>
      </c>
      <c r="B428" s="3">
        <v>45600</v>
      </c>
      <c r="C428" s="3">
        <v>45601</v>
      </c>
      <c r="D428" s="1" t="s">
        <v>35</v>
      </c>
      <c r="E428" s="1" t="str">
        <f>UPPER(TRIM(D428))</f>
        <v>DOCUMENTATION ERROR</v>
      </c>
      <c r="G428" s="1" t="s">
        <v>12</v>
      </c>
      <c r="H428" s="1" t="str">
        <f>IF(OR(TRIM(G428)="Yes",TRIM(G428)="YES",TRIM(G428)="Y",TRIM(G428)="yes"),"Yes","No")</f>
        <v>No</v>
      </c>
      <c r="J428" s="1" t="str">
        <f>IF(OR(TRIM(I428)="Yes",TRIM(I428)="YES",TRIM(I428)="Y",TRIM(I428)="yes"),"Yes","No")</f>
        <v>No</v>
      </c>
      <c r="L428" s="1" t="str">
        <f>IF(C428="","Yes","No")</f>
        <v>No</v>
      </c>
      <c r="M428" s="1">
        <f>IF(C428="", "", C428 - B428)</f>
        <v>1</v>
      </c>
      <c r="N428" s="3">
        <f>DATE(YEAR(B428),MONTH(B428),1)</f>
        <v>45597</v>
      </c>
      <c r="O428" s="2">
        <f>DATE(YEAR(B428),MONTH(B428),1)</f>
        <v>45597</v>
      </c>
    </row>
    <row r="429" spans="1:15" x14ac:dyDescent="0.2">
      <c r="A429" s="1" t="s">
        <v>88</v>
      </c>
      <c r="B429" s="3">
        <v>45691</v>
      </c>
      <c r="C429" s="3">
        <v>45703</v>
      </c>
      <c r="D429" s="1" t="s">
        <v>35</v>
      </c>
      <c r="E429" s="1" t="str">
        <f>UPPER(TRIM(D429))</f>
        <v>DOCUMENTATION ERROR</v>
      </c>
      <c r="F429" s="1" t="s">
        <v>6</v>
      </c>
      <c r="G429" s="1" t="s">
        <v>47</v>
      </c>
      <c r="H429" s="1" t="str">
        <f>IF(OR(TRIM(G429)="Yes",TRIM(G429)="YES",TRIM(G429)="Y",TRIM(G429)="yes"),"Yes","No")</f>
        <v>Yes</v>
      </c>
      <c r="I429" s="1" t="s">
        <v>0</v>
      </c>
      <c r="J429" s="1" t="str">
        <f>IF(OR(TRIM(I429)="Yes",TRIM(I429)="YES",TRIM(I429)="Y",TRIM(I429)="yes"),"Yes","No")</f>
        <v>Yes</v>
      </c>
      <c r="K429" s="1" t="s">
        <v>15</v>
      </c>
      <c r="L429" s="1" t="str">
        <f>IF(C429="","Yes","No")</f>
        <v>No</v>
      </c>
      <c r="M429" s="1">
        <f>IF(C429="", "", C429 - B429)</f>
        <v>12</v>
      </c>
      <c r="N429" s="3">
        <f>DATE(YEAR(B429),MONTH(B429),1)</f>
        <v>45689</v>
      </c>
      <c r="O429" s="2">
        <f>DATE(YEAR(B429),MONTH(B429),1)</f>
        <v>45689</v>
      </c>
    </row>
    <row r="430" spans="1:15" x14ac:dyDescent="0.2">
      <c r="A430" s="1" t="s">
        <v>87</v>
      </c>
      <c r="B430" s="3">
        <v>45671</v>
      </c>
      <c r="C430" s="3">
        <v>45684</v>
      </c>
      <c r="D430" s="1" t="s">
        <v>44</v>
      </c>
      <c r="E430" s="1" t="str">
        <f>UPPER(TRIM(D430))</f>
        <v>COMMUNICATION DELAY</v>
      </c>
      <c r="F430" s="1" t="s">
        <v>2</v>
      </c>
      <c r="G430" s="1" t="s">
        <v>47</v>
      </c>
      <c r="H430" s="1" t="str">
        <f>IF(OR(TRIM(G430)="Yes",TRIM(G430)="YES",TRIM(G430)="Y",TRIM(G430)="yes"),"Yes","No")</f>
        <v>Yes</v>
      </c>
      <c r="I430" s="1" t="s">
        <v>9</v>
      </c>
      <c r="J430" s="1" t="str">
        <f>IF(OR(TRIM(I430)="Yes",TRIM(I430)="YES",TRIM(I430)="Y",TRIM(I430)="yes"),"Yes","No")</f>
        <v>No</v>
      </c>
      <c r="K430" s="1" t="s">
        <v>29</v>
      </c>
      <c r="L430" s="1" t="str">
        <f>IF(C430="","Yes","No")</f>
        <v>No</v>
      </c>
      <c r="M430" s="1">
        <f>IF(C430="", "", C430 - B430)</f>
        <v>13</v>
      </c>
      <c r="N430" s="3">
        <f>DATE(YEAR(B430),MONTH(B430),1)</f>
        <v>45658</v>
      </c>
      <c r="O430" s="2">
        <f>DATE(YEAR(B430),MONTH(B430),1)</f>
        <v>45658</v>
      </c>
    </row>
    <row r="431" spans="1:15" x14ac:dyDescent="0.2">
      <c r="A431" s="1" t="s">
        <v>78</v>
      </c>
      <c r="B431" s="3">
        <v>45690</v>
      </c>
      <c r="C431" s="3">
        <v>45706</v>
      </c>
      <c r="D431" s="1" t="s">
        <v>22</v>
      </c>
      <c r="E431" s="1" t="str">
        <f>UPPER(TRIM(D431))</f>
        <v>BILLING ISSUE</v>
      </c>
      <c r="F431" s="1" t="s">
        <v>21</v>
      </c>
      <c r="G431" s="1" t="s">
        <v>47</v>
      </c>
      <c r="H431" s="1" t="str">
        <f>IF(OR(TRIM(G431)="Yes",TRIM(G431)="YES",TRIM(G431)="Y",TRIM(G431)="yes"),"Yes","No")</f>
        <v>Yes</v>
      </c>
      <c r="I431" s="1" t="s">
        <v>9</v>
      </c>
      <c r="J431" s="1" t="str">
        <f>IF(OR(TRIM(I431)="Yes",TRIM(I431)="YES",TRIM(I431)="Y",TRIM(I431)="yes"),"Yes","No")</f>
        <v>No</v>
      </c>
      <c r="K431" s="1" t="s">
        <v>15</v>
      </c>
      <c r="L431" s="1" t="str">
        <f>IF(C431="","Yes","No")</f>
        <v>No</v>
      </c>
      <c r="M431" s="1">
        <f>IF(C431="", "", C431 - B431)</f>
        <v>16</v>
      </c>
      <c r="N431" s="3">
        <f>DATE(YEAR(B431),MONTH(B431),1)</f>
        <v>45689</v>
      </c>
      <c r="O431" s="2">
        <f>DATE(YEAR(B431),MONTH(B431),1)</f>
        <v>45689</v>
      </c>
    </row>
    <row r="432" spans="1:15" x14ac:dyDescent="0.2">
      <c r="A432" s="1" t="s">
        <v>73</v>
      </c>
      <c r="B432" s="3">
        <v>45764</v>
      </c>
      <c r="C432" s="3">
        <v>45780</v>
      </c>
      <c r="D432" s="1" t="s">
        <v>35</v>
      </c>
      <c r="E432" s="1" t="str">
        <f>UPPER(TRIM(D432))</f>
        <v>DOCUMENTATION ERROR</v>
      </c>
      <c r="F432" s="1" t="s">
        <v>6</v>
      </c>
      <c r="G432" s="1" t="s">
        <v>16</v>
      </c>
      <c r="H432" s="1" t="str">
        <f>IF(OR(TRIM(G432)="Yes",TRIM(G432)="YES",TRIM(G432)="Y",TRIM(G432)="yes"),"Yes","No")</f>
        <v>No</v>
      </c>
      <c r="I432" s="1" t="s">
        <v>9</v>
      </c>
      <c r="J432" s="1" t="str">
        <f>IF(OR(TRIM(I432)="Yes",TRIM(I432)="YES",TRIM(I432)="Y",TRIM(I432)="yes"),"Yes","No")</f>
        <v>No</v>
      </c>
      <c r="K432" s="1" t="s">
        <v>5</v>
      </c>
      <c r="L432" s="1" t="str">
        <f>IF(C432="","Yes","No")</f>
        <v>No</v>
      </c>
      <c r="M432" s="1">
        <f>IF(C432="", "", C432 - B432)</f>
        <v>16</v>
      </c>
      <c r="N432" s="3">
        <f>DATE(YEAR(B432),MONTH(B432),1)</f>
        <v>45748</v>
      </c>
      <c r="O432" s="2">
        <f>DATE(YEAR(B432),MONTH(B432),1)</f>
        <v>45748</v>
      </c>
    </row>
    <row r="433" spans="1:15" x14ac:dyDescent="0.2">
      <c r="A433" s="1" t="s">
        <v>82</v>
      </c>
      <c r="B433" s="3">
        <v>45752</v>
      </c>
      <c r="C433" s="3">
        <v>45760</v>
      </c>
      <c r="D433" s="1" t="s">
        <v>3</v>
      </c>
      <c r="E433" s="1" t="str">
        <f>UPPER(TRIM(D433))</f>
        <v>COMMUNICATION DELAY</v>
      </c>
      <c r="F433" s="1" t="s">
        <v>2</v>
      </c>
      <c r="G433" s="1" t="s">
        <v>16</v>
      </c>
      <c r="H433" s="1" t="str">
        <f>IF(OR(TRIM(G433)="Yes",TRIM(G433)="YES",TRIM(G433)="Y",TRIM(G433)="yes"),"Yes","No")</f>
        <v>No</v>
      </c>
      <c r="I433" s="1" t="s">
        <v>0</v>
      </c>
      <c r="J433" s="1" t="str">
        <f>IF(OR(TRIM(I433)="Yes",TRIM(I433)="YES",TRIM(I433)="Y",TRIM(I433)="yes"),"Yes","No")</f>
        <v>Yes</v>
      </c>
      <c r="L433" s="1" t="str">
        <f>IF(C433="","Yes","No")</f>
        <v>No</v>
      </c>
      <c r="M433" s="1">
        <f>IF(C433="", "", C433 - B433)</f>
        <v>8</v>
      </c>
      <c r="N433" s="3">
        <f>DATE(YEAR(B433),MONTH(B433),1)</f>
        <v>45748</v>
      </c>
      <c r="O433" s="2">
        <f>DATE(YEAR(B433),MONTH(B433),1)</f>
        <v>45748</v>
      </c>
    </row>
    <row r="434" spans="1:15" x14ac:dyDescent="0.2">
      <c r="A434" s="1" t="s">
        <v>86</v>
      </c>
      <c r="B434" s="3">
        <v>45605</v>
      </c>
      <c r="C434" s="3">
        <v>45620</v>
      </c>
      <c r="D434" s="1" t="s">
        <v>44</v>
      </c>
      <c r="E434" s="1" t="str">
        <f>UPPER(TRIM(D434))</f>
        <v>COMMUNICATION DELAY</v>
      </c>
      <c r="G434" s="1" t="s">
        <v>12</v>
      </c>
      <c r="H434" s="1" t="str">
        <f>IF(OR(TRIM(G434)="Yes",TRIM(G434)="YES",TRIM(G434)="Y",TRIM(G434)="yes"),"Yes","No")</f>
        <v>No</v>
      </c>
      <c r="I434" s="1" t="s">
        <v>1</v>
      </c>
      <c r="J434" s="1" t="str">
        <f>IF(OR(TRIM(I434)="Yes",TRIM(I434)="YES",TRIM(I434)="Y",TRIM(I434)="yes"),"Yes","No")</f>
        <v>Yes</v>
      </c>
      <c r="L434" s="1" t="str">
        <f>IF(C434="","Yes","No")</f>
        <v>No</v>
      </c>
      <c r="M434" s="1">
        <f>IF(C434="", "", C434 - B434)</f>
        <v>15</v>
      </c>
      <c r="N434" s="3">
        <f>DATE(YEAR(B434),MONTH(B434),1)</f>
        <v>45597</v>
      </c>
      <c r="O434" s="2">
        <f>DATE(YEAR(B434),MONTH(B434),1)</f>
        <v>45597</v>
      </c>
    </row>
    <row r="435" spans="1:15" x14ac:dyDescent="0.2">
      <c r="A435" s="1" t="s">
        <v>80</v>
      </c>
      <c r="B435" s="3">
        <v>45670</v>
      </c>
      <c r="C435" s="3">
        <v>45680</v>
      </c>
      <c r="D435" s="1" t="s">
        <v>33</v>
      </c>
      <c r="E435" s="1" t="str">
        <f>UPPER(TRIM(D435))</f>
        <v>POLICY UPDATE</v>
      </c>
      <c r="F435" s="1" t="s">
        <v>6</v>
      </c>
      <c r="G435" s="1" t="s">
        <v>0</v>
      </c>
      <c r="H435" s="1" t="str">
        <f>IF(OR(TRIM(G435)="Yes",TRIM(G435)="YES",TRIM(G435)="Y",TRIM(G435)="yes"),"Yes","No")</f>
        <v>Yes</v>
      </c>
      <c r="J435" s="1" t="str">
        <f>IF(OR(TRIM(I435)="Yes",TRIM(I435)="YES",TRIM(I435)="Y",TRIM(I435)="yes"),"Yes","No")</f>
        <v>No</v>
      </c>
      <c r="K435" s="1" t="s">
        <v>15</v>
      </c>
      <c r="L435" s="1" t="str">
        <f>IF(C435="","Yes","No")</f>
        <v>No</v>
      </c>
      <c r="M435" s="1">
        <f>IF(C435="", "", C435 - B435)</f>
        <v>10</v>
      </c>
      <c r="N435" s="3">
        <f>DATE(YEAR(B435),MONTH(B435),1)</f>
        <v>45658</v>
      </c>
      <c r="O435" s="2">
        <f>DATE(YEAR(B435),MONTH(B435),1)</f>
        <v>45658</v>
      </c>
    </row>
    <row r="436" spans="1:15" x14ac:dyDescent="0.2">
      <c r="A436" s="1" t="s">
        <v>85</v>
      </c>
      <c r="B436" s="3">
        <v>45623</v>
      </c>
      <c r="D436" s="1" t="s">
        <v>44</v>
      </c>
      <c r="E436" s="1" t="str">
        <f>UPPER(TRIM(D436))</f>
        <v>COMMUNICATION DELAY</v>
      </c>
      <c r="F436" s="1" t="s">
        <v>2</v>
      </c>
      <c r="G436" s="1" t="s">
        <v>16</v>
      </c>
      <c r="H436" s="1" t="str">
        <f>IF(OR(TRIM(G436)="Yes",TRIM(G436)="YES",TRIM(G436)="Y",TRIM(G436)="yes"),"Yes","No")</f>
        <v>No</v>
      </c>
      <c r="I436" s="1" t="s">
        <v>0</v>
      </c>
      <c r="J436" s="1" t="str">
        <f>IF(OR(TRIM(I436)="Yes",TRIM(I436)="YES",TRIM(I436)="Y",TRIM(I436)="yes"),"Yes","No")</f>
        <v>Yes</v>
      </c>
      <c r="L436" s="1" t="str">
        <f>IF(C436="","Yes","No")</f>
        <v>Yes</v>
      </c>
      <c r="M436" s="1" t="str">
        <f>IF(C436="", "", C436 - B436)</f>
        <v/>
      </c>
      <c r="N436" s="3">
        <f>DATE(YEAR(B436),MONTH(B436),1)</f>
        <v>45597</v>
      </c>
      <c r="O436" s="2">
        <f>DATE(YEAR(B436),MONTH(B436),1)</f>
        <v>45597</v>
      </c>
    </row>
    <row r="437" spans="1:15" x14ac:dyDescent="0.2">
      <c r="A437" s="1" t="s">
        <v>84</v>
      </c>
      <c r="B437" s="3">
        <v>45572</v>
      </c>
      <c r="C437" s="3">
        <v>45588</v>
      </c>
      <c r="D437" s="1" t="s">
        <v>35</v>
      </c>
      <c r="E437" s="1" t="str">
        <f>UPPER(TRIM(D437))</f>
        <v>DOCUMENTATION ERROR</v>
      </c>
      <c r="G437" s="1" t="s">
        <v>1</v>
      </c>
      <c r="H437" s="1" t="str">
        <f>IF(OR(TRIM(G437)="Yes",TRIM(G437)="YES",TRIM(G437)="Y",TRIM(G437)="yes"),"Yes","No")</f>
        <v>Yes</v>
      </c>
      <c r="I437" s="1" t="s">
        <v>9</v>
      </c>
      <c r="J437" s="1" t="str">
        <f>IF(OR(TRIM(I437)="Yes",TRIM(I437)="YES",TRIM(I437)="Y",TRIM(I437)="yes"),"Yes","No")</f>
        <v>No</v>
      </c>
      <c r="K437" s="1" t="s">
        <v>5</v>
      </c>
      <c r="L437" s="1" t="str">
        <f>IF(C437="","Yes","No")</f>
        <v>No</v>
      </c>
      <c r="M437" s="1">
        <f>IF(C437="", "", C437 - B437)</f>
        <v>16</v>
      </c>
      <c r="N437" s="3">
        <f>DATE(YEAR(B437),MONTH(B437),1)</f>
        <v>45566</v>
      </c>
      <c r="O437" s="2">
        <f>DATE(YEAR(B437),MONTH(B437),1)</f>
        <v>45566</v>
      </c>
    </row>
    <row r="438" spans="1:15" x14ac:dyDescent="0.2">
      <c r="A438" s="1" t="s">
        <v>83</v>
      </c>
      <c r="B438" s="3">
        <v>45761</v>
      </c>
      <c r="C438" s="3">
        <v>45771</v>
      </c>
      <c r="D438" s="1" t="s">
        <v>3</v>
      </c>
      <c r="E438" s="1" t="str">
        <f>UPPER(TRIM(D438))</f>
        <v>COMMUNICATION DELAY</v>
      </c>
      <c r="G438" s="1" t="s">
        <v>0</v>
      </c>
      <c r="H438" s="1" t="str">
        <f>IF(OR(TRIM(G438)="Yes",TRIM(G438)="YES",TRIM(G438)="Y",TRIM(G438)="yes"),"Yes","No")</f>
        <v>Yes</v>
      </c>
      <c r="J438" s="1" t="str">
        <f>IF(OR(TRIM(I438)="Yes",TRIM(I438)="YES",TRIM(I438)="Y",TRIM(I438)="yes"),"Yes","No")</f>
        <v>No</v>
      </c>
      <c r="L438" s="1" t="str">
        <f>IF(C438="","Yes","No")</f>
        <v>No</v>
      </c>
      <c r="M438" s="1">
        <f>IF(C438="", "", C438 - B438)</f>
        <v>10</v>
      </c>
      <c r="N438" s="3">
        <f>DATE(YEAR(B438),MONTH(B438),1)</f>
        <v>45748</v>
      </c>
      <c r="O438" s="2">
        <f>DATE(YEAR(B438),MONTH(B438),1)</f>
        <v>45748</v>
      </c>
    </row>
    <row r="439" spans="1:15" x14ac:dyDescent="0.2">
      <c r="A439" s="1" t="s">
        <v>14</v>
      </c>
      <c r="B439" s="3">
        <v>45567</v>
      </c>
      <c r="C439" s="3">
        <v>45584</v>
      </c>
      <c r="D439" s="1" t="s">
        <v>7</v>
      </c>
      <c r="E439" s="1" t="str">
        <f>UPPER(TRIM(D439))</f>
        <v>BILLING ISSUE</v>
      </c>
      <c r="F439" s="1" t="s">
        <v>21</v>
      </c>
      <c r="G439" s="1" t="s">
        <v>0</v>
      </c>
      <c r="H439" s="1" t="str">
        <f>IF(OR(TRIM(G439)="Yes",TRIM(G439)="YES",TRIM(G439)="Y",TRIM(G439)="yes"),"Yes","No")</f>
        <v>Yes</v>
      </c>
      <c r="I439" s="1" t="s">
        <v>0</v>
      </c>
      <c r="J439" s="1" t="str">
        <f>IF(OR(TRIM(I439)="Yes",TRIM(I439)="YES",TRIM(I439)="Y",TRIM(I439)="yes"),"Yes","No")</f>
        <v>Yes</v>
      </c>
      <c r="K439" s="1" t="s">
        <v>29</v>
      </c>
      <c r="L439" s="1" t="str">
        <f>IF(C439="","Yes","No")</f>
        <v>No</v>
      </c>
      <c r="M439" s="1">
        <f>IF(C439="", "", C439 - B439)</f>
        <v>17</v>
      </c>
      <c r="N439" s="3">
        <f>DATE(YEAR(B439),MONTH(B439),1)</f>
        <v>45566</v>
      </c>
      <c r="O439" s="2">
        <f>DATE(YEAR(B439),MONTH(B439),1)</f>
        <v>45566</v>
      </c>
    </row>
    <row r="440" spans="1:15" x14ac:dyDescent="0.2">
      <c r="A440" s="1" t="s">
        <v>82</v>
      </c>
      <c r="B440" s="3">
        <v>45691</v>
      </c>
      <c r="C440" s="3">
        <v>45710</v>
      </c>
      <c r="D440" s="1" t="s">
        <v>10</v>
      </c>
      <c r="E440" s="1" t="str">
        <f>UPPER(TRIM(D440))</f>
        <v>POLICY UPDATE</v>
      </c>
      <c r="F440" s="1" t="s">
        <v>2</v>
      </c>
      <c r="G440" s="1" t="s">
        <v>47</v>
      </c>
      <c r="H440" s="1" t="str">
        <f>IF(OR(TRIM(G440)="Yes",TRIM(G440)="YES",TRIM(G440)="Y",TRIM(G440)="yes"),"Yes","No")</f>
        <v>Yes</v>
      </c>
      <c r="I440" s="1" t="s">
        <v>1</v>
      </c>
      <c r="J440" s="1" t="str">
        <f>IF(OR(TRIM(I440)="Yes",TRIM(I440)="YES",TRIM(I440)="Y",TRIM(I440)="yes"),"Yes","No")</f>
        <v>Yes</v>
      </c>
      <c r="K440" s="1" t="s">
        <v>29</v>
      </c>
      <c r="L440" s="1" t="str">
        <f>IF(C440="","Yes","No")</f>
        <v>No</v>
      </c>
      <c r="M440" s="1">
        <f>IF(C440="", "", C440 - B440)</f>
        <v>19</v>
      </c>
      <c r="N440" s="3">
        <f>DATE(YEAR(B440),MONTH(B440),1)</f>
        <v>45689</v>
      </c>
      <c r="O440" s="2">
        <f>DATE(YEAR(B440),MONTH(B440),1)</f>
        <v>45689</v>
      </c>
    </row>
    <row r="441" spans="1:15" x14ac:dyDescent="0.2">
      <c r="A441" s="1" t="s">
        <v>81</v>
      </c>
      <c r="B441" s="3">
        <v>45566</v>
      </c>
      <c r="C441" s="3">
        <v>45579</v>
      </c>
      <c r="D441" s="1" t="s">
        <v>22</v>
      </c>
      <c r="E441" s="1" t="str">
        <f>UPPER(TRIM(D441))</f>
        <v>BILLING ISSUE</v>
      </c>
      <c r="G441" s="1" t="s">
        <v>12</v>
      </c>
      <c r="H441" s="1" t="str">
        <f>IF(OR(TRIM(G441)="Yes",TRIM(G441)="YES",TRIM(G441)="Y",TRIM(G441)="yes"),"Yes","No")</f>
        <v>No</v>
      </c>
      <c r="J441" s="1" t="str">
        <f>IF(OR(TRIM(I441)="Yes",TRIM(I441)="YES",TRIM(I441)="Y",TRIM(I441)="yes"),"Yes","No")</f>
        <v>No</v>
      </c>
      <c r="K441" s="1" t="s">
        <v>15</v>
      </c>
      <c r="L441" s="1" t="str">
        <f>IF(C441="","Yes","No")</f>
        <v>No</v>
      </c>
      <c r="M441" s="1">
        <f>IF(C441="", "", C441 - B441)</f>
        <v>13</v>
      </c>
      <c r="N441" s="3">
        <f>DATE(YEAR(B441),MONTH(B441),1)</f>
        <v>45566</v>
      </c>
      <c r="O441" s="2">
        <f>DATE(YEAR(B441),MONTH(B441),1)</f>
        <v>45566</v>
      </c>
    </row>
    <row r="442" spans="1:15" x14ac:dyDescent="0.2">
      <c r="A442" s="1" t="s">
        <v>80</v>
      </c>
      <c r="B442" s="3">
        <v>45583</v>
      </c>
      <c r="C442" s="3">
        <v>45595</v>
      </c>
      <c r="D442" s="1" t="s">
        <v>7</v>
      </c>
      <c r="E442" s="1" t="str">
        <f>UPPER(TRIM(D442))</f>
        <v>BILLING ISSUE</v>
      </c>
      <c r="F442" s="1" t="s">
        <v>6</v>
      </c>
      <c r="G442" s="1" t="s">
        <v>9</v>
      </c>
      <c r="H442" s="1" t="str">
        <f>IF(OR(TRIM(G442)="Yes",TRIM(G442)="YES",TRIM(G442)="Y",TRIM(G442)="yes"),"Yes","No")</f>
        <v>No</v>
      </c>
      <c r="I442" s="1" t="s">
        <v>9</v>
      </c>
      <c r="J442" s="1" t="str">
        <f>IF(OR(TRIM(I442)="Yes",TRIM(I442)="YES",TRIM(I442)="Y",TRIM(I442)="yes"),"Yes","No")</f>
        <v>No</v>
      </c>
      <c r="K442" s="1" t="s">
        <v>15</v>
      </c>
      <c r="L442" s="1" t="str">
        <f>IF(C442="","Yes","No")</f>
        <v>No</v>
      </c>
      <c r="M442" s="1">
        <f>IF(C442="", "", C442 - B442)</f>
        <v>12</v>
      </c>
      <c r="N442" s="3">
        <f>DATE(YEAR(B442),MONTH(B442),1)</f>
        <v>45566</v>
      </c>
      <c r="O442" s="2">
        <f>DATE(YEAR(B442),MONTH(B442),1)</f>
        <v>45566</v>
      </c>
    </row>
    <row r="443" spans="1:15" x14ac:dyDescent="0.2">
      <c r="A443" s="1" t="s">
        <v>79</v>
      </c>
      <c r="B443" s="3">
        <v>45675</v>
      </c>
      <c r="C443" s="3">
        <v>45684</v>
      </c>
      <c r="D443" s="1" t="s">
        <v>33</v>
      </c>
      <c r="E443" s="1" t="str">
        <f>UPPER(TRIM(D443))</f>
        <v>POLICY UPDATE</v>
      </c>
      <c r="F443" s="1" t="s">
        <v>18</v>
      </c>
      <c r="H443" s="1" t="str">
        <f>IF(OR(TRIM(G443)="Yes",TRIM(G443)="YES",TRIM(G443)="Y",TRIM(G443)="yes"),"Yes","No")</f>
        <v>No</v>
      </c>
      <c r="I443" s="1" t="s">
        <v>16</v>
      </c>
      <c r="J443" s="1" t="str">
        <f>IF(OR(TRIM(I443)="Yes",TRIM(I443)="YES",TRIM(I443)="Y",TRIM(I443)="yes"),"Yes","No")</f>
        <v>No</v>
      </c>
      <c r="K443" s="1" t="s">
        <v>5</v>
      </c>
      <c r="L443" s="1" t="str">
        <f>IF(C443="","Yes","No")</f>
        <v>No</v>
      </c>
      <c r="M443" s="1">
        <f>IF(C443="", "", C443 - B443)</f>
        <v>9</v>
      </c>
      <c r="N443" s="3">
        <f>DATE(YEAR(B443),MONTH(B443),1)</f>
        <v>45658</v>
      </c>
      <c r="O443" s="2">
        <f>DATE(YEAR(B443),MONTH(B443),1)</f>
        <v>45658</v>
      </c>
    </row>
    <row r="444" spans="1:15" x14ac:dyDescent="0.2">
      <c r="A444" s="1" t="s">
        <v>78</v>
      </c>
      <c r="B444" s="3">
        <v>45657</v>
      </c>
      <c r="C444" s="3">
        <v>45662</v>
      </c>
      <c r="D444" s="1" t="s">
        <v>7</v>
      </c>
      <c r="E444" s="1" t="str">
        <f>UPPER(TRIM(D444))</f>
        <v>BILLING ISSUE</v>
      </c>
      <c r="F444" s="1" t="s">
        <v>2</v>
      </c>
      <c r="G444" s="1" t="s">
        <v>1</v>
      </c>
      <c r="H444" s="1" t="str">
        <f>IF(OR(TRIM(G444)="Yes",TRIM(G444)="YES",TRIM(G444)="Y",TRIM(G444)="yes"),"Yes","No")</f>
        <v>Yes</v>
      </c>
      <c r="I444" s="1" t="s">
        <v>0</v>
      </c>
      <c r="J444" s="1" t="str">
        <f>IF(OR(TRIM(I444)="Yes",TRIM(I444)="YES",TRIM(I444)="Y",TRIM(I444)="yes"),"Yes","No")</f>
        <v>Yes</v>
      </c>
      <c r="K444" s="1" t="s">
        <v>29</v>
      </c>
      <c r="L444" s="1" t="str">
        <f>IF(C444="","Yes","No")</f>
        <v>No</v>
      </c>
      <c r="M444" s="1">
        <f>IF(C444="", "", C444 - B444)</f>
        <v>5</v>
      </c>
      <c r="N444" s="3">
        <f>DATE(YEAR(B444),MONTH(B444),1)</f>
        <v>45627</v>
      </c>
      <c r="O444" s="2">
        <f>DATE(YEAR(B444),MONTH(B444),1)</f>
        <v>45627</v>
      </c>
    </row>
    <row r="445" spans="1:15" x14ac:dyDescent="0.2">
      <c r="A445" s="1" t="s">
        <v>77</v>
      </c>
      <c r="B445" s="3">
        <v>45650</v>
      </c>
      <c r="C445" s="3">
        <v>45654</v>
      </c>
      <c r="D445" s="1" t="s">
        <v>35</v>
      </c>
      <c r="E445" s="1" t="str">
        <f>UPPER(TRIM(D445))</f>
        <v>DOCUMENTATION ERROR</v>
      </c>
      <c r="G445" s="1" t="s">
        <v>12</v>
      </c>
      <c r="H445" s="1" t="str">
        <f>IF(OR(TRIM(G445)="Yes",TRIM(G445)="YES",TRIM(G445)="Y",TRIM(G445)="yes"),"Yes","No")</f>
        <v>No</v>
      </c>
      <c r="J445" s="1" t="str">
        <f>IF(OR(TRIM(I445)="Yes",TRIM(I445)="YES",TRIM(I445)="Y",TRIM(I445)="yes"),"Yes","No")</f>
        <v>No</v>
      </c>
      <c r="K445" s="1" t="s">
        <v>15</v>
      </c>
      <c r="L445" s="1" t="str">
        <f>IF(C445="","Yes","No")</f>
        <v>No</v>
      </c>
      <c r="M445" s="1">
        <f>IF(C445="", "", C445 - B445)</f>
        <v>4</v>
      </c>
      <c r="N445" s="3">
        <f>DATE(YEAR(B445),MONTH(B445),1)</f>
        <v>45627</v>
      </c>
      <c r="O445" s="2">
        <f>DATE(YEAR(B445),MONTH(B445),1)</f>
        <v>45627</v>
      </c>
    </row>
    <row r="446" spans="1:15" x14ac:dyDescent="0.2">
      <c r="A446" s="1" t="s">
        <v>76</v>
      </c>
      <c r="B446" s="3">
        <v>45656</v>
      </c>
      <c r="C446" s="3">
        <v>45662</v>
      </c>
      <c r="D446" s="1" t="s">
        <v>24</v>
      </c>
      <c r="E446" s="1" t="str">
        <f>UPPER(TRIM(D446))</f>
        <v>BILLING ISSUE</v>
      </c>
      <c r="G446" s="1" t="s">
        <v>9</v>
      </c>
      <c r="H446" s="1" t="str">
        <f>IF(OR(TRIM(G446)="Yes",TRIM(G446)="YES",TRIM(G446)="Y",TRIM(G446)="yes"),"Yes","No")</f>
        <v>No</v>
      </c>
      <c r="I446" s="1" t="s">
        <v>1</v>
      </c>
      <c r="J446" s="1" t="str">
        <f>IF(OR(TRIM(I446)="Yes",TRIM(I446)="YES",TRIM(I446)="Y",TRIM(I446)="yes"),"Yes","No")</f>
        <v>Yes</v>
      </c>
      <c r="K446" s="1" t="s">
        <v>15</v>
      </c>
      <c r="L446" s="1" t="str">
        <f>IF(C446="","Yes","No")</f>
        <v>No</v>
      </c>
      <c r="M446" s="1">
        <f>IF(C446="", "", C446 - B446)</f>
        <v>6</v>
      </c>
      <c r="N446" s="3">
        <f>DATE(YEAR(B446),MONTH(B446),1)</f>
        <v>45627</v>
      </c>
      <c r="O446" s="2">
        <f>DATE(YEAR(B446),MONTH(B446),1)</f>
        <v>45627</v>
      </c>
    </row>
    <row r="447" spans="1:15" x14ac:dyDescent="0.2">
      <c r="A447" s="1" t="s">
        <v>75</v>
      </c>
      <c r="B447" s="3">
        <v>45716</v>
      </c>
      <c r="C447" s="3">
        <v>45729</v>
      </c>
      <c r="D447" s="1" t="s">
        <v>10</v>
      </c>
      <c r="E447" s="1" t="str">
        <f>UPPER(TRIM(D447))</f>
        <v>POLICY UPDATE</v>
      </c>
      <c r="G447" s="1" t="s">
        <v>0</v>
      </c>
      <c r="H447" s="1" t="str">
        <f>IF(OR(TRIM(G447)="Yes",TRIM(G447)="YES",TRIM(G447)="Y",TRIM(G447)="yes"),"Yes","No")</f>
        <v>Yes</v>
      </c>
      <c r="I447" s="1" t="s">
        <v>9</v>
      </c>
      <c r="J447" s="1" t="str">
        <f>IF(OR(TRIM(I447)="Yes",TRIM(I447)="YES",TRIM(I447)="Y",TRIM(I447)="yes"),"Yes","No")</f>
        <v>No</v>
      </c>
      <c r="K447" s="1" t="s">
        <v>15</v>
      </c>
      <c r="L447" s="1" t="str">
        <f>IF(C447="","Yes","No")</f>
        <v>No</v>
      </c>
      <c r="M447" s="1">
        <f>IF(C447="", "", C447 - B447)</f>
        <v>13</v>
      </c>
      <c r="N447" s="3">
        <f>DATE(YEAR(B447),MONTH(B447),1)</f>
        <v>45689</v>
      </c>
      <c r="O447" s="2">
        <f>DATE(YEAR(B447),MONTH(B447),1)</f>
        <v>45689</v>
      </c>
    </row>
    <row r="448" spans="1:15" x14ac:dyDescent="0.2">
      <c r="A448" s="1" t="s">
        <v>74</v>
      </c>
      <c r="B448" s="3">
        <v>45697</v>
      </c>
      <c r="C448" s="3">
        <v>45711</v>
      </c>
      <c r="D448" s="1" t="s">
        <v>19</v>
      </c>
      <c r="E448" s="1" t="str">
        <f>UPPER(TRIM(D448))</f>
        <v>DOC ERROR</v>
      </c>
      <c r="F448" s="1" t="s">
        <v>6</v>
      </c>
      <c r="G448" s="1" t="s">
        <v>9</v>
      </c>
      <c r="H448" s="1" t="str">
        <f>IF(OR(TRIM(G448)="Yes",TRIM(G448)="YES",TRIM(G448)="Y",TRIM(G448)="yes"),"Yes","No")</f>
        <v>No</v>
      </c>
      <c r="I448" s="1" t="s">
        <v>9</v>
      </c>
      <c r="J448" s="1" t="str">
        <f>IF(OR(TRIM(I448)="Yes",TRIM(I448)="YES",TRIM(I448)="Y",TRIM(I448)="yes"),"Yes","No")</f>
        <v>No</v>
      </c>
      <c r="L448" s="1" t="str">
        <f>IF(C448="","Yes","No")</f>
        <v>No</v>
      </c>
      <c r="M448" s="1">
        <f>IF(C448="", "", C448 - B448)</f>
        <v>14</v>
      </c>
      <c r="N448" s="3">
        <f>DATE(YEAR(B448),MONTH(B448),1)</f>
        <v>45689</v>
      </c>
      <c r="O448" s="2">
        <f>DATE(YEAR(B448),MONTH(B448),1)</f>
        <v>45689</v>
      </c>
    </row>
    <row r="449" spans="1:15" x14ac:dyDescent="0.2">
      <c r="A449" s="1" t="s">
        <v>73</v>
      </c>
      <c r="B449" s="3">
        <v>45647</v>
      </c>
      <c r="D449" s="1" t="s">
        <v>27</v>
      </c>
      <c r="E449" s="1" t="str">
        <f>UPPER(TRIM(D449))</f>
        <v>SERVICE DELAY</v>
      </c>
      <c r="F449" s="1" t="s">
        <v>21</v>
      </c>
      <c r="G449" s="1" t="s">
        <v>9</v>
      </c>
      <c r="H449" s="1" t="str">
        <f>IF(OR(TRIM(G449)="Yes",TRIM(G449)="YES",TRIM(G449)="Y",TRIM(G449)="yes"),"Yes","No")</f>
        <v>No</v>
      </c>
      <c r="I449" s="1" t="s">
        <v>1</v>
      </c>
      <c r="J449" s="1" t="str">
        <f>IF(OR(TRIM(I449)="Yes",TRIM(I449)="YES",TRIM(I449)="Y",TRIM(I449)="yes"),"Yes","No")</f>
        <v>Yes</v>
      </c>
      <c r="L449" s="1" t="str">
        <f>IF(C449="","Yes","No")</f>
        <v>Yes</v>
      </c>
      <c r="M449" s="1" t="str">
        <f>IF(C449="", "", C449 - B449)</f>
        <v/>
      </c>
      <c r="N449" s="3">
        <f>DATE(YEAR(B449),MONTH(B449),1)</f>
        <v>45627</v>
      </c>
      <c r="O449" s="2">
        <f>DATE(YEAR(B449),MONTH(B449),1)</f>
        <v>45627</v>
      </c>
    </row>
    <row r="450" spans="1:15" x14ac:dyDescent="0.2">
      <c r="A450" s="1" t="s">
        <v>72</v>
      </c>
      <c r="B450" s="3">
        <v>45695</v>
      </c>
      <c r="C450" s="3">
        <v>45703</v>
      </c>
      <c r="D450" s="1" t="s">
        <v>10</v>
      </c>
      <c r="E450" s="1" t="str">
        <f>UPPER(TRIM(D450))</f>
        <v>POLICY UPDATE</v>
      </c>
      <c r="H450" s="1" t="str">
        <f>IF(OR(TRIM(G450)="Yes",TRIM(G450)="YES",TRIM(G450)="Y",TRIM(G450)="yes"),"Yes","No")</f>
        <v>No</v>
      </c>
      <c r="J450" s="1" t="str">
        <f>IF(OR(TRIM(I450)="Yes",TRIM(I450)="YES",TRIM(I450)="Y",TRIM(I450)="yes"),"Yes","No")</f>
        <v>No</v>
      </c>
      <c r="K450" s="1" t="s">
        <v>29</v>
      </c>
      <c r="L450" s="1" t="str">
        <f>IF(C450="","Yes","No")</f>
        <v>No</v>
      </c>
      <c r="M450" s="1">
        <f>IF(C450="", "", C450 - B450)</f>
        <v>8</v>
      </c>
      <c r="N450" s="3">
        <f>DATE(YEAR(B450),MONTH(B450),1)</f>
        <v>45689</v>
      </c>
      <c r="O450" s="2">
        <f>DATE(YEAR(B450),MONTH(B450),1)</f>
        <v>45689</v>
      </c>
    </row>
    <row r="451" spans="1:15" x14ac:dyDescent="0.2">
      <c r="A451" s="1" t="s">
        <v>71</v>
      </c>
      <c r="B451" s="3">
        <v>45575</v>
      </c>
      <c r="C451" s="3">
        <v>45578</v>
      </c>
      <c r="D451" s="1" t="s">
        <v>22</v>
      </c>
      <c r="E451" s="1" t="str">
        <f>UPPER(TRIM(D451))</f>
        <v>BILLING ISSUE</v>
      </c>
      <c r="F451" s="1" t="s">
        <v>21</v>
      </c>
      <c r="G451" s="1" t="s">
        <v>0</v>
      </c>
      <c r="H451" s="1" t="str">
        <f>IF(OR(TRIM(G451)="Yes",TRIM(G451)="YES",TRIM(G451)="Y",TRIM(G451)="yes"),"Yes","No")</f>
        <v>Yes</v>
      </c>
      <c r="I451" s="1" t="s">
        <v>0</v>
      </c>
      <c r="J451" s="1" t="str">
        <f>IF(OR(TRIM(I451)="Yes",TRIM(I451)="YES",TRIM(I451)="Y",TRIM(I451)="yes"),"Yes","No")</f>
        <v>Yes</v>
      </c>
      <c r="K451" s="1" t="s">
        <v>29</v>
      </c>
      <c r="L451" s="1" t="str">
        <f>IF(C451="","Yes","No")</f>
        <v>No</v>
      </c>
      <c r="M451" s="1">
        <f>IF(C451="", "", C451 - B451)</f>
        <v>3</v>
      </c>
      <c r="N451" s="3">
        <f>DATE(YEAR(B451),MONTH(B451),1)</f>
        <v>45566</v>
      </c>
      <c r="O451" s="2">
        <f>DATE(YEAR(B451),MONTH(B451),1)</f>
        <v>45566</v>
      </c>
    </row>
    <row r="452" spans="1:15" x14ac:dyDescent="0.2">
      <c r="A452" s="1" t="s">
        <v>60</v>
      </c>
      <c r="B452" s="3">
        <v>45577</v>
      </c>
      <c r="D452" s="1" t="s">
        <v>33</v>
      </c>
      <c r="E452" s="1" t="str">
        <f>UPPER(TRIM(D452))</f>
        <v>POLICY UPDATE</v>
      </c>
      <c r="H452" s="1" t="str">
        <f>IF(OR(TRIM(G452)="Yes",TRIM(G452)="YES",TRIM(G452)="Y",TRIM(G452)="yes"),"Yes","No")</f>
        <v>No</v>
      </c>
      <c r="J452" s="1" t="str">
        <f>IF(OR(TRIM(I452)="Yes",TRIM(I452)="YES",TRIM(I452)="Y",TRIM(I452)="yes"),"Yes","No")</f>
        <v>No</v>
      </c>
      <c r="K452" s="1" t="s">
        <v>15</v>
      </c>
      <c r="L452" s="1" t="str">
        <f>IF(C452="","Yes","No")</f>
        <v>Yes</v>
      </c>
      <c r="M452" s="1" t="str">
        <f>IF(C452="", "", C452 - B452)</f>
        <v/>
      </c>
      <c r="N452" s="3">
        <f>DATE(YEAR(B452),MONTH(B452),1)</f>
        <v>45566</v>
      </c>
      <c r="O452" s="2">
        <f>DATE(YEAR(B452),MONTH(B452),1)</f>
        <v>45566</v>
      </c>
    </row>
    <row r="453" spans="1:15" x14ac:dyDescent="0.2">
      <c r="A453" s="1" t="s">
        <v>70</v>
      </c>
      <c r="B453" s="3">
        <v>45731</v>
      </c>
      <c r="C453" s="3">
        <v>45750</v>
      </c>
      <c r="D453" s="1" t="s">
        <v>10</v>
      </c>
      <c r="E453" s="1" t="str">
        <f>UPPER(TRIM(D453))</f>
        <v>POLICY UPDATE</v>
      </c>
      <c r="G453" s="1" t="s">
        <v>9</v>
      </c>
      <c r="H453" s="1" t="str">
        <f>IF(OR(TRIM(G453)="Yes",TRIM(G453)="YES",TRIM(G453)="Y",TRIM(G453)="yes"),"Yes","No")</f>
        <v>No</v>
      </c>
      <c r="I453" s="1" t="s">
        <v>9</v>
      </c>
      <c r="J453" s="1" t="str">
        <f>IF(OR(TRIM(I453)="Yes",TRIM(I453)="YES",TRIM(I453)="Y",TRIM(I453)="yes"),"Yes","No")</f>
        <v>No</v>
      </c>
      <c r="K453" s="1" t="s">
        <v>5</v>
      </c>
      <c r="L453" s="1" t="str">
        <f>IF(C453="","Yes","No")</f>
        <v>No</v>
      </c>
      <c r="M453" s="1">
        <f>IF(C453="", "", C453 - B453)</f>
        <v>19</v>
      </c>
      <c r="N453" s="3">
        <f>DATE(YEAR(B453),MONTH(B453),1)</f>
        <v>45717</v>
      </c>
      <c r="O453" s="2">
        <f>DATE(YEAR(B453),MONTH(B453),1)</f>
        <v>45717</v>
      </c>
    </row>
    <row r="454" spans="1:15" x14ac:dyDescent="0.2">
      <c r="A454" s="1" t="s">
        <v>69</v>
      </c>
      <c r="B454" s="3">
        <v>45567</v>
      </c>
      <c r="C454" s="3">
        <v>45568</v>
      </c>
      <c r="D454" s="1" t="s">
        <v>24</v>
      </c>
      <c r="E454" s="1" t="str">
        <f>UPPER(TRIM(D454))</f>
        <v>BILLING ISSUE</v>
      </c>
      <c r="F454" s="1" t="s">
        <v>2</v>
      </c>
      <c r="G454" s="1" t="s">
        <v>9</v>
      </c>
      <c r="H454" s="1" t="str">
        <f>IF(OR(TRIM(G454)="Yes",TRIM(G454)="YES",TRIM(G454)="Y",TRIM(G454)="yes"),"Yes","No")</f>
        <v>No</v>
      </c>
      <c r="I454" s="1" t="s">
        <v>1</v>
      </c>
      <c r="J454" s="1" t="str">
        <f>IF(OR(TRIM(I454)="Yes",TRIM(I454)="YES",TRIM(I454)="Y",TRIM(I454)="yes"),"Yes","No")</f>
        <v>Yes</v>
      </c>
      <c r="L454" s="1" t="str">
        <f>IF(C454="","Yes","No")</f>
        <v>No</v>
      </c>
      <c r="M454" s="1">
        <f>IF(C454="", "", C454 - B454)</f>
        <v>1</v>
      </c>
      <c r="N454" s="3">
        <f>DATE(YEAR(B454),MONTH(B454),1)</f>
        <v>45566</v>
      </c>
      <c r="O454" s="2">
        <f>DATE(YEAR(B454),MONTH(B454),1)</f>
        <v>45566</v>
      </c>
    </row>
    <row r="455" spans="1:15" x14ac:dyDescent="0.2">
      <c r="A455" s="1" t="s">
        <v>68</v>
      </c>
      <c r="B455" s="3">
        <v>45576</v>
      </c>
      <c r="C455" s="3">
        <v>45584</v>
      </c>
      <c r="D455" s="1" t="s">
        <v>44</v>
      </c>
      <c r="E455" s="1" t="str">
        <f>UPPER(TRIM(D455))</f>
        <v>COMMUNICATION DELAY</v>
      </c>
      <c r="G455" s="1" t="s">
        <v>16</v>
      </c>
      <c r="H455" s="1" t="str">
        <f>IF(OR(TRIM(G455)="Yes",TRIM(G455)="YES",TRIM(G455)="Y",TRIM(G455)="yes"),"Yes","No")</f>
        <v>No</v>
      </c>
      <c r="J455" s="1" t="str">
        <f>IF(OR(TRIM(I455)="Yes",TRIM(I455)="YES",TRIM(I455)="Y",TRIM(I455)="yes"),"Yes","No")</f>
        <v>No</v>
      </c>
      <c r="L455" s="1" t="str">
        <f>IF(C455="","Yes","No")</f>
        <v>No</v>
      </c>
      <c r="M455" s="1">
        <f>IF(C455="", "", C455 - B455)</f>
        <v>8</v>
      </c>
      <c r="N455" s="3">
        <f>DATE(YEAR(B455),MONTH(B455),1)</f>
        <v>45566</v>
      </c>
      <c r="O455" s="2">
        <f>DATE(YEAR(B455),MONTH(B455),1)</f>
        <v>45566</v>
      </c>
    </row>
    <row r="456" spans="1:15" x14ac:dyDescent="0.2">
      <c r="A456" s="1" t="s">
        <v>67</v>
      </c>
      <c r="B456" s="3">
        <v>45731</v>
      </c>
      <c r="D456" s="1" t="s">
        <v>19</v>
      </c>
      <c r="E456" s="1" t="str">
        <f>UPPER(TRIM(D456))</f>
        <v>DOC ERROR</v>
      </c>
      <c r="F456" s="1" t="s">
        <v>21</v>
      </c>
      <c r="G456" s="1" t="s">
        <v>9</v>
      </c>
      <c r="H456" s="1" t="str">
        <f>IF(OR(TRIM(G456)="Yes",TRIM(G456)="YES",TRIM(G456)="Y",TRIM(G456)="yes"),"Yes","No")</f>
        <v>No</v>
      </c>
      <c r="J456" s="1" t="str">
        <f>IF(OR(TRIM(I456)="Yes",TRIM(I456)="YES",TRIM(I456)="Y",TRIM(I456)="yes"),"Yes","No")</f>
        <v>No</v>
      </c>
      <c r="K456" s="1" t="s">
        <v>29</v>
      </c>
      <c r="L456" s="1" t="str">
        <f>IF(C456="","Yes","No")</f>
        <v>Yes</v>
      </c>
      <c r="M456" s="1" t="str">
        <f>IF(C456="", "", C456 - B456)</f>
        <v/>
      </c>
      <c r="N456" s="3">
        <f>DATE(YEAR(B456),MONTH(B456),1)</f>
        <v>45717</v>
      </c>
      <c r="O456" s="2">
        <f>DATE(YEAR(B456),MONTH(B456),1)</f>
        <v>45717</v>
      </c>
    </row>
    <row r="457" spans="1:15" x14ac:dyDescent="0.2">
      <c r="A457" s="1" t="s">
        <v>66</v>
      </c>
      <c r="B457" s="3">
        <v>45576</v>
      </c>
      <c r="D457" s="1" t="s">
        <v>3</v>
      </c>
      <c r="E457" s="1" t="str">
        <f>UPPER(TRIM(D457))</f>
        <v>COMMUNICATION DELAY</v>
      </c>
      <c r="F457" s="1" t="s">
        <v>6</v>
      </c>
      <c r="G457" s="1" t="s">
        <v>47</v>
      </c>
      <c r="H457" s="1" t="str">
        <f>IF(OR(TRIM(G457)="Yes",TRIM(G457)="YES",TRIM(G457)="Y",TRIM(G457)="yes"),"Yes","No")</f>
        <v>Yes</v>
      </c>
      <c r="I457" s="1" t="s">
        <v>0</v>
      </c>
      <c r="J457" s="1" t="str">
        <f>IF(OR(TRIM(I457)="Yes",TRIM(I457)="YES",TRIM(I457)="Y",TRIM(I457)="yes"),"Yes","No")</f>
        <v>Yes</v>
      </c>
      <c r="L457" s="1" t="str">
        <f>IF(C457="","Yes","No")</f>
        <v>Yes</v>
      </c>
      <c r="M457" s="1" t="str">
        <f>IF(C457="", "", C457 - B457)</f>
        <v/>
      </c>
      <c r="N457" s="3">
        <f>DATE(YEAR(B457),MONTH(B457),1)</f>
        <v>45566</v>
      </c>
      <c r="O457" s="2">
        <f>DATE(YEAR(B457),MONTH(B457),1)</f>
        <v>45566</v>
      </c>
    </row>
    <row r="458" spans="1:15" x14ac:dyDescent="0.2">
      <c r="A458" s="1" t="s">
        <v>65</v>
      </c>
      <c r="B458" s="3">
        <v>45704</v>
      </c>
      <c r="D458" s="1" t="s">
        <v>44</v>
      </c>
      <c r="E458" s="1" t="str">
        <f>UPPER(TRIM(D458))</f>
        <v>COMMUNICATION DELAY</v>
      </c>
      <c r="F458" s="1" t="s">
        <v>18</v>
      </c>
      <c r="G458" s="1" t="s">
        <v>16</v>
      </c>
      <c r="H458" s="1" t="str">
        <f>IF(OR(TRIM(G458)="Yes",TRIM(G458)="YES",TRIM(G458)="Y",TRIM(G458)="yes"),"Yes","No")</f>
        <v>No</v>
      </c>
      <c r="I458" s="1" t="s">
        <v>16</v>
      </c>
      <c r="J458" s="1" t="str">
        <f>IF(OR(TRIM(I458)="Yes",TRIM(I458)="YES",TRIM(I458)="Y",TRIM(I458)="yes"),"Yes","No")</f>
        <v>No</v>
      </c>
      <c r="K458" s="1" t="s">
        <v>29</v>
      </c>
      <c r="L458" s="1" t="str">
        <f>IF(C458="","Yes","No")</f>
        <v>Yes</v>
      </c>
      <c r="M458" s="1" t="str">
        <f>IF(C458="", "", C458 - B458)</f>
        <v/>
      </c>
      <c r="N458" s="3">
        <f>DATE(YEAR(B458),MONTH(B458),1)</f>
        <v>45689</v>
      </c>
      <c r="O458" s="2">
        <f>DATE(YEAR(B458),MONTH(B458),1)</f>
        <v>45689</v>
      </c>
    </row>
    <row r="459" spans="1:15" x14ac:dyDescent="0.2">
      <c r="A459" s="1" t="s">
        <v>64</v>
      </c>
      <c r="B459" s="3">
        <v>45642</v>
      </c>
      <c r="C459" s="3">
        <v>45647</v>
      </c>
      <c r="D459" s="1" t="s">
        <v>3</v>
      </c>
      <c r="E459" s="1" t="str">
        <f>UPPER(TRIM(D459))</f>
        <v>COMMUNICATION DELAY</v>
      </c>
      <c r="G459" s="1" t="s">
        <v>12</v>
      </c>
      <c r="H459" s="1" t="str">
        <f>IF(OR(TRIM(G459)="Yes",TRIM(G459)="YES",TRIM(G459)="Y",TRIM(G459)="yes"),"Yes","No")</f>
        <v>No</v>
      </c>
      <c r="J459" s="1" t="str">
        <f>IF(OR(TRIM(I459)="Yes",TRIM(I459)="YES",TRIM(I459)="Y",TRIM(I459)="yes"),"Yes","No")</f>
        <v>No</v>
      </c>
      <c r="L459" s="1" t="str">
        <f>IF(C459="","Yes","No")</f>
        <v>No</v>
      </c>
      <c r="M459" s="1">
        <f>IF(C459="", "", C459 - B459)</f>
        <v>5</v>
      </c>
      <c r="N459" s="3">
        <f>DATE(YEAR(B459),MONTH(B459),1)</f>
        <v>45627</v>
      </c>
      <c r="O459" s="2">
        <f>DATE(YEAR(B459),MONTH(B459),1)</f>
        <v>45627</v>
      </c>
    </row>
    <row r="460" spans="1:15" x14ac:dyDescent="0.2">
      <c r="A460" s="1" t="s">
        <v>63</v>
      </c>
      <c r="B460" s="3">
        <v>45700</v>
      </c>
      <c r="C460" s="3">
        <v>45714</v>
      </c>
      <c r="D460" s="1" t="s">
        <v>24</v>
      </c>
      <c r="E460" s="1" t="str">
        <f>UPPER(TRIM(D460))</f>
        <v>BILLING ISSUE</v>
      </c>
      <c r="F460" s="1" t="s">
        <v>21</v>
      </c>
      <c r="G460" s="1" t="s">
        <v>47</v>
      </c>
      <c r="H460" s="1" t="str">
        <f>IF(OR(TRIM(G460)="Yes",TRIM(G460)="YES",TRIM(G460)="Y",TRIM(G460)="yes"),"Yes","No")</f>
        <v>Yes</v>
      </c>
      <c r="I460" s="1" t="s">
        <v>16</v>
      </c>
      <c r="J460" s="1" t="str">
        <f>IF(OR(TRIM(I460)="Yes",TRIM(I460)="YES",TRIM(I460)="Y",TRIM(I460)="yes"),"Yes","No")</f>
        <v>No</v>
      </c>
      <c r="L460" s="1" t="str">
        <f>IF(C460="","Yes","No")</f>
        <v>No</v>
      </c>
      <c r="M460" s="1">
        <f>IF(C460="", "", C460 - B460)</f>
        <v>14</v>
      </c>
      <c r="N460" s="3">
        <f>DATE(YEAR(B460),MONTH(B460),1)</f>
        <v>45689</v>
      </c>
      <c r="O460" s="2">
        <f>DATE(YEAR(B460),MONTH(B460),1)</f>
        <v>45689</v>
      </c>
    </row>
    <row r="461" spans="1:15" x14ac:dyDescent="0.2">
      <c r="A461" s="1" t="s">
        <v>62</v>
      </c>
      <c r="B461" s="3">
        <v>45735</v>
      </c>
      <c r="C461" s="3">
        <v>45736</v>
      </c>
      <c r="D461" s="1" t="s">
        <v>33</v>
      </c>
      <c r="E461" s="1" t="str">
        <f>UPPER(TRIM(D461))</f>
        <v>POLICY UPDATE</v>
      </c>
      <c r="F461" s="1" t="s">
        <v>6</v>
      </c>
      <c r="G461" s="1" t="s">
        <v>1</v>
      </c>
      <c r="H461" s="1" t="str">
        <f>IF(OR(TRIM(G461)="Yes",TRIM(G461)="YES",TRIM(G461)="Y",TRIM(G461)="yes"),"Yes","No")</f>
        <v>Yes</v>
      </c>
      <c r="J461" s="1" t="str">
        <f>IF(OR(TRIM(I461)="Yes",TRIM(I461)="YES",TRIM(I461)="Y",TRIM(I461)="yes"),"Yes","No")</f>
        <v>No</v>
      </c>
      <c r="K461" s="1" t="s">
        <v>29</v>
      </c>
      <c r="L461" s="1" t="str">
        <f>IF(C461="","Yes","No")</f>
        <v>No</v>
      </c>
      <c r="M461" s="1">
        <f>IF(C461="", "", C461 - B461)</f>
        <v>1</v>
      </c>
      <c r="N461" s="3">
        <f>DATE(YEAR(B461),MONTH(B461),1)</f>
        <v>45717</v>
      </c>
      <c r="O461" s="2">
        <f>DATE(YEAR(B461),MONTH(B461),1)</f>
        <v>45717</v>
      </c>
    </row>
    <row r="462" spans="1:15" x14ac:dyDescent="0.2">
      <c r="A462" s="1" t="s">
        <v>61</v>
      </c>
      <c r="B462" s="3">
        <v>45718</v>
      </c>
      <c r="C462" s="3">
        <v>45735</v>
      </c>
      <c r="D462" s="1" t="s">
        <v>33</v>
      </c>
      <c r="E462" s="1" t="str">
        <f>UPPER(TRIM(D462))</f>
        <v>POLICY UPDATE</v>
      </c>
      <c r="G462" s="1" t="s">
        <v>0</v>
      </c>
      <c r="H462" s="1" t="str">
        <f>IF(OR(TRIM(G462)="Yes",TRIM(G462)="YES",TRIM(G462)="Y",TRIM(G462)="yes"),"Yes","No")</f>
        <v>Yes</v>
      </c>
      <c r="I462" s="1" t="s">
        <v>0</v>
      </c>
      <c r="J462" s="1" t="str">
        <f>IF(OR(TRIM(I462)="Yes",TRIM(I462)="YES",TRIM(I462)="Y",TRIM(I462)="yes"),"Yes","No")</f>
        <v>Yes</v>
      </c>
      <c r="K462" s="1" t="s">
        <v>29</v>
      </c>
      <c r="L462" s="1" t="str">
        <f>IF(C462="","Yes","No")</f>
        <v>No</v>
      </c>
      <c r="M462" s="1">
        <f>IF(C462="", "", C462 - B462)</f>
        <v>17</v>
      </c>
      <c r="N462" s="3">
        <f>DATE(YEAR(B462),MONTH(B462),1)</f>
        <v>45717</v>
      </c>
      <c r="O462" s="2">
        <f>DATE(YEAR(B462),MONTH(B462),1)</f>
        <v>45717</v>
      </c>
    </row>
    <row r="463" spans="1:15" x14ac:dyDescent="0.2">
      <c r="A463" s="1" t="s">
        <v>60</v>
      </c>
      <c r="B463" s="3">
        <v>45659</v>
      </c>
      <c r="C463" s="3">
        <v>45676</v>
      </c>
      <c r="D463" s="1" t="s">
        <v>44</v>
      </c>
      <c r="E463" s="1" t="str">
        <f>UPPER(TRIM(D463))</f>
        <v>COMMUNICATION DELAY</v>
      </c>
      <c r="F463" s="1" t="s">
        <v>21</v>
      </c>
      <c r="G463" s="1" t="s">
        <v>47</v>
      </c>
      <c r="H463" s="1" t="str">
        <f>IF(OR(TRIM(G463)="Yes",TRIM(G463)="YES",TRIM(G463)="Y",TRIM(G463)="yes"),"Yes","No")</f>
        <v>Yes</v>
      </c>
      <c r="J463" s="1" t="str">
        <f>IF(OR(TRIM(I463)="Yes",TRIM(I463)="YES",TRIM(I463)="Y",TRIM(I463)="yes"),"Yes","No")</f>
        <v>No</v>
      </c>
      <c r="L463" s="1" t="str">
        <f>IF(C463="","Yes","No")</f>
        <v>No</v>
      </c>
      <c r="M463" s="1">
        <f>IF(C463="", "", C463 - B463)</f>
        <v>17</v>
      </c>
      <c r="N463" s="3">
        <f>DATE(YEAR(B463),MONTH(B463),1)</f>
        <v>45658</v>
      </c>
      <c r="O463" s="2">
        <f>DATE(YEAR(B463),MONTH(B463),1)</f>
        <v>45658</v>
      </c>
    </row>
    <row r="464" spans="1:15" x14ac:dyDescent="0.2">
      <c r="A464" s="1" t="s">
        <v>59</v>
      </c>
      <c r="B464" s="3">
        <v>45626</v>
      </c>
      <c r="C464" s="3">
        <v>45635</v>
      </c>
      <c r="D464" s="1" t="s">
        <v>35</v>
      </c>
      <c r="E464" s="1" t="str">
        <f>UPPER(TRIM(D464))</f>
        <v>DOCUMENTATION ERROR</v>
      </c>
      <c r="F464" s="1" t="s">
        <v>2</v>
      </c>
      <c r="G464" s="1" t="s">
        <v>16</v>
      </c>
      <c r="H464" s="1" t="str">
        <f>IF(OR(TRIM(G464)="Yes",TRIM(G464)="YES",TRIM(G464)="Y",TRIM(G464)="yes"),"Yes","No")</f>
        <v>No</v>
      </c>
      <c r="I464" s="1" t="s">
        <v>9</v>
      </c>
      <c r="J464" s="1" t="str">
        <f>IF(OR(TRIM(I464)="Yes",TRIM(I464)="YES",TRIM(I464)="Y",TRIM(I464)="yes"),"Yes","No")</f>
        <v>No</v>
      </c>
      <c r="L464" s="1" t="str">
        <f>IF(C464="","Yes","No")</f>
        <v>No</v>
      </c>
      <c r="M464" s="1">
        <f>IF(C464="", "", C464 - B464)</f>
        <v>9</v>
      </c>
      <c r="N464" s="3">
        <f>DATE(YEAR(B464),MONTH(B464),1)</f>
        <v>45597</v>
      </c>
      <c r="O464" s="2">
        <f>DATE(YEAR(B464),MONTH(B464),1)</f>
        <v>45597</v>
      </c>
    </row>
    <row r="465" spans="1:15" x14ac:dyDescent="0.2">
      <c r="A465" s="1" t="s">
        <v>58</v>
      </c>
      <c r="B465" s="3">
        <v>45678</v>
      </c>
      <c r="D465" s="1" t="s">
        <v>10</v>
      </c>
      <c r="E465" s="1" t="str">
        <f>UPPER(TRIM(D465))</f>
        <v>POLICY UPDATE</v>
      </c>
      <c r="F465" s="1" t="s">
        <v>21</v>
      </c>
      <c r="G465" s="1" t="s">
        <v>12</v>
      </c>
      <c r="H465" s="1" t="str">
        <f>IF(OR(TRIM(G465)="Yes",TRIM(G465)="YES",TRIM(G465)="Y",TRIM(G465)="yes"),"Yes","No")</f>
        <v>No</v>
      </c>
      <c r="I465" s="1" t="s">
        <v>0</v>
      </c>
      <c r="J465" s="1" t="str">
        <f>IF(OR(TRIM(I465)="Yes",TRIM(I465)="YES",TRIM(I465)="Y",TRIM(I465)="yes"),"Yes","No")</f>
        <v>Yes</v>
      </c>
      <c r="K465" s="1" t="s">
        <v>29</v>
      </c>
      <c r="L465" s="1" t="str">
        <f>IF(C465="","Yes","No")</f>
        <v>Yes</v>
      </c>
      <c r="M465" s="1" t="str">
        <f>IF(C465="", "", C465 - B465)</f>
        <v/>
      </c>
      <c r="N465" s="3">
        <f>DATE(YEAR(B465),MONTH(B465),1)</f>
        <v>45658</v>
      </c>
      <c r="O465" s="2">
        <f>DATE(YEAR(B465),MONTH(B465),1)</f>
        <v>45658</v>
      </c>
    </row>
    <row r="466" spans="1:15" x14ac:dyDescent="0.2">
      <c r="A466" s="1" t="s">
        <v>57</v>
      </c>
      <c r="B466" s="3">
        <v>45584</v>
      </c>
      <c r="C466" s="3">
        <v>45591</v>
      </c>
      <c r="D466" s="1" t="s">
        <v>44</v>
      </c>
      <c r="E466" s="1" t="str">
        <f>UPPER(TRIM(D466))</f>
        <v>COMMUNICATION DELAY</v>
      </c>
      <c r="G466" s="1" t="s">
        <v>1</v>
      </c>
      <c r="H466" s="1" t="str">
        <f>IF(OR(TRIM(G466)="Yes",TRIM(G466)="YES",TRIM(G466)="Y",TRIM(G466)="yes"),"Yes","No")</f>
        <v>Yes</v>
      </c>
      <c r="I466" s="1" t="s">
        <v>16</v>
      </c>
      <c r="J466" s="1" t="str">
        <f>IF(OR(TRIM(I466)="Yes",TRIM(I466)="YES",TRIM(I466)="Y",TRIM(I466)="yes"),"Yes","No")</f>
        <v>No</v>
      </c>
      <c r="L466" s="1" t="str">
        <f>IF(C466="","Yes","No")</f>
        <v>No</v>
      </c>
      <c r="M466" s="1">
        <f>IF(C466="", "", C466 - B466)</f>
        <v>7</v>
      </c>
      <c r="N466" s="3">
        <f>DATE(YEAR(B466),MONTH(B466),1)</f>
        <v>45566</v>
      </c>
      <c r="O466" s="2">
        <f>DATE(YEAR(B466),MONTH(B466),1)</f>
        <v>45566</v>
      </c>
    </row>
    <row r="467" spans="1:15" x14ac:dyDescent="0.2">
      <c r="A467" s="1" t="s">
        <v>56</v>
      </c>
      <c r="B467" s="3">
        <v>45637</v>
      </c>
      <c r="C467" s="3">
        <v>45645</v>
      </c>
      <c r="D467" s="1" t="s">
        <v>10</v>
      </c>
      <c r="E467" s="1" t="str">
        <f>UPPER(TRIM(D467))</f>
        <v>POLICY UPDATE</v>
      </c>
      <c r="F467" s="1" t="s">
        <v>21</v>
      </c>
      <c r="G467" s="1" t="s">
        <v>12</v>
      </c>
      <c r="H467" s="1" t="str">
        <f>IF(OR(TRIM(G467)="Yes",TRIM(G467)="YES",TRIM(G467)="Y",TRIM(G467)="yes"),"Yes","No")</f>
        <v>No</v>
      </c>
      <c r="I467" s="1" t="s">
        <v>0</v>
      </c>
      <c r="J467" s="1" t="str">
        <f>IF(OR(TRIM(I467)="Yes",TRIM(I467)="YES",TRIM(I467)="Y",TRIM(I467)="yes"),"Yes","No")</f>
        <v>Yes</v>
      </c>
      <c r="K467" s="1" t="s">
        <v>5</v>
      </c>
      <c r="L467" s="1" t="str">
        <f>IF(C467="","Yes","No")</f>
        <v>No</v>
      </c>
      <c r="M467" s="1">
        <f>IF(C467="", "", C467 - B467)</f>
        <v>8</v>
      </c>
      <c r="N467" s="3">
        <f>DATE(YEAR(B467),MONTH(B467),1)</f>
        <v>45627</v>
      </c>
      <c r="O467" s="2">
        <f>DATE(YEAR(B467),MONTH(B467),1)</f>
        <v>45627</v>
      </c>
    </row>
    <row r="468" spans="1:15" x14ac:dyDescent="0.2">
      <c r="A468" s="1" t="s">
        <v>55</v>
      </c>
      <c r="B468" s="3">
        <v>45591</v>
      </c>
      <c r="C468" s="3">
        <v>45604</v>
      </c>
      <c r="D468" s="1" t="s">
        <v>19</v>
      </c>
      <c r="E468" s="1" t="str">
        <f>UPPER(TRIM(D468))</f>
        <v>DOC ERROR</v>
      </c>
      <c r="F468" s="1" t="s">
        <v>21</v>
      </c>
      <c r="G468" s="1" t="s">
        <v>12</v>
      </c>
      <c r="H468" s="1" t="str">
        <f>IF(OR(TRIM(G468)="Yes",TRIM(G468)="YES",TRIM(G468)="Y",TRIM(G468)="yes"),"Yes","No")</f>
        <v>No</v>
      </c>
      <c r="J468" s="1" t="str">
        <f>IF(OR(TRIM(I468)="Yes",TRIM(I468)="YES",TRIM(I468)="Y",TRIM(I468)="yes"),"Yes","No")</f>
        <v>No</v>
      </c>
      <c r="L468" s="1" t="str">
        <f>IF(C468="","Yes","No")</f>
        <v>No</v>
      </c>
      <c r="M468" s="1">
        <f>IF(C468="", "", C468 - B468)</f>
        <v>13</v>
      </c>
      <c r="N468" s="3">
        <f>DATE(YEAR(B468),MONTH(B468),1)</f>
        <v>45566</v>
      </c>
      <c r="O468" s="2">
        <f>DATE(YEAR(B468),MONTH(B468),1)</f>
        <v>45566</v>
      </c>
    </row>
    <row r="469" spans="1:15" x14ac:dyDescent="0.2">
      <c r="A469" s="1" t="s">
        <v>54</v>
      </c>
      <c r="B469" s="3">
        <v>45624</v>
      </c>
      <c r="D469" s="1" t="s">
        <v>44</v>
      </c>
      <c r="E469" s="1" t="str">
        <f>UPPER(TRIM(D469))</f>
        <v>COMMUNICATION DELAY</v>
      </c>
      <c r="G469" s="1" t="s">
        <v>0</v>
      </c>
      <c r="H469" s="1" t="str">
        <f>IF(OR(TRIM(G469)="Yes",TRIM(G469)="YES",TRIM(G469)="Y",TRIM(G469)="yes"),"Yes","No")</f>
        <v>Yes</v>
      </c>
      <c r="I469" s="1" t="s">
        <v>16</v>
      </c>
      <c r="J469" s="1" t="str">
        <f>IF(OR(TRIM(I469)="Yes",TRIM(I469)="YES",TRIM(I469)="Y",TRIM(I469)="yes"),"Yes","No")</f>
        <v>No</v>
      </c>
      <c r="L469" s="1" t="str">
        <f>IF(C469="","Yes","No")</f>
        <v>Yes</v>
      </c>
      <c r="M469" s="1" t="str">
        <f>IF(C469="", "", C469 - B469)</f>
        <v/>
      </c>
      <c r="N469" s="3">
        <f>DATE(YEAR(B469),MONTH(B469),1)</f>
        <v>45597</v>
      </c>
      <c r="O469" s="2">
        <f>DATE(YEAR(B469),MONTH(B469),1)</f>
        <v>45597</v>
      </c>
    </row>
    <row r="470" spans="1:15" x14ac:dyDescent="0.2">
      <c r="A470" s="1" t="s">
        <v>53</v>
      </c>
      <c r="B470" s="3">
        <v>45756</v>
      </c>
      <c r="D470" s="1" t="s">
        <v>35</v>
      </c>
      <c r="E470" s="1" t="str">
        <f>UPPER(TRIM(D470))</f>
        <v>DOCUMENTATION ERROR</v>
      </c>
      <c r="F470" s="1" t="s">
        <v>6</v>
      </c>
      <c r="G470" s="1" t="s">
        <v>16</v>
      </c>
      <c r="H470" s="1" t="str">
        <f>IF(OR(TRIM(G470)="Yes",TRIM(G470)="YES",TRIM(G470)="Y",TRIM(G470)="yes"),"Yes","No")</f>
        <v>No</v>
      </c>
      <c r="J470" s="1" t="str">
        <f>IF(OR(TRIM(I470)="Yes",TRIM(I470)="YES",TRIM(I470)="Y",TRIM(I470)="yes"),"Yes","No")</f>
        <v>No</v>
      </c>
      <c r="L470" s="1" t="str">
        <f>IF(C470="","Yes","No")</f>
        <v>Yes</v>
      </c>
      <c r="M470" s="1" t="str">
        <f>IF(C470="", "", C470 - B470)</f>
        <v/>
      </c>
      <c r="N470" s="3">
        <f>DATE(YEAR(B470),MONTH(B470),1)</f>
        <v>45748</v>
      </c>
      <c r="O470" s="2">
        <f>DATE(YEAR(B470),MONTH(B470),1)</f>
        <v>45748</v>
      </c>
    </row>
    <row r="471" spans="1:15" x14ac:dyDescent="0.2">
      <c r="A471" s="1" t="s">
        <v>52</v>
      </c>
      <c r="B471" s="3">
        <v>45620</v>
      </c>
      <c r="C471" s="3">
        <v>45636</v>
      </c>
      <c r="D471" s="1" t="s">
        <v>44</v>
      </c>
      <c r="E471" s="1" t="str">
        <f>UPPER(TRIM(D471))</f>
        <v>COMMUNICATION DELAY</v>
      </c>
      <c r="F471" s="1" t="s">
        <v>21</v>
      </c>
      <c r="G471" s="1" t="s">
        <v>47</v>
      </c>
      <c r="H471" s="1" t="str">
        <f>IF(OR(TRIM(G471)="Yes",TRIM(G471)="YES",TRIM(G471)="Y",TRIM(G471)="yes"),"Yes","No")</f>
        <v>Yes</v>
      </c>
      <c r="I471" s="1" t="s">
        <v>1</v>
      </c>
      <c r="J471" s="1" t="str">
        <f>IF(OR(TRIM(I471)="Yes",TRIM(I471)="YES",TRIM(I471)="Y",TRIM(I471)="yes"),"Yes","No")</f>
        <v>Yes</v>
      </c>
      <c r="K471" s="1" t="s">
        <v>5</v>
      </c>
      <c r="L471" s="1" t="str">
        <f>IF(C471="","Yes","No")</f>
        <v>No</v>
      </c>
      <c r="M471" s="1">
        <f>IF(C471="", "", C471 - B471)</f>
        <v>16</v>
      </c>
      <c r="N471" s="3">
        <f>DATE(YEAR(B471),MONTH(B471),1)</f>
        <v>45597</v>
      </c>
      <c r="O471" s="2">
        <f>DATE(YEAR(B471),MONTH(B471),1)</f>
        <v>45597</v>
      </c>
    </row>
    <row r="472" spans="1:15" x14ac:dyDescent="0.2">
      <c r="A472" s="1" t="s">
        <v>51</v>
      </c>
      <c r="B472" s="3">
        <v>45756</v>
      </c>
      <c r="C472" s="3">
        <v>45770</v>
      </c>
      <c r="D472" s="1" t="s">
        <v>27</v>
      </c>
      <c r="E472" s="1" t="str">
        <f>UPPER(TRIM(D472))</f>
        <v>SERVICE DELAY</v>
      </c>
      <c r="G472" s="1" t="s">
        <v>9</v>
      </c>
      <c r="H472" s="1" t="str">
        <f>IF(OR(TRIM(G472)="Yes",TRIM(G472)="YES",TRIM(G472)="Y",TRIM(G472)="yes"),"Yes","No")</f>
        <v>No</v>
      </c>
      <c r="J472" s="1" t="str">
        <f>IF(OR(TRIM(I472)="Yes",TRIM(I472)="YES",TRIM(I472)="Y",TRIM(I472)="yes"),"Yes","No")</f>
        <v>No</v>
      </c>
      <c r="K472" s="1" t="s">
        <v>29</v>
      </c>
      <c r="L472" s="1" t="str">
        <f>IF(C472="","Yes","No")</f>
        <v>No</v>
      </c>
      <c r="M472" s="1">
        <f>IF(C472="", "", C472 - B472)</f>
        <v>14</v>
      </c>
      <c r="N472" s="3">
        <f>DATE(YEAR(B472),MONTH(B472),1)</f>
        <v>45748</v>
      </c>
      <c r="O472" s="2">
        <f>DATE(YEAR(B472),MONTH(B472),1)</f>
        <v>45748</v>
      </c>
    </row>
    <row r="473" spans="1:15" x14ac:dyDescent="0.2">
      <c r="A473" s="1" t="s">
        <v>50</v>
      </c>
      <c r="B473" s="3">
        <v>45706</v>
      </c>
      <c r="C473" s="3">
        <v>45708</v>
      </c>
      <c r="D473" s="1" t="s">
        <v>44</v>
      </c>
      <c r="E473" s="1" t="str">
        <f>UPPER(TRIM(D473))</f>
        <v>COMMUNICATION DELAY</v>
      </c>
      <c r="F473" s="1" t="s">
        <v>21</v>
      </c>
      <c r="G473" s="1" t="s">
        <v>0</v>
      </c>
      <c r="H473" s="1" t="str">
        <f>IF(OR(TRIM(G473)="Yes",TRIM(G473)="YES",TRIM(G473)="Y",TRIM(G473)="yes"),"Yes","No")</f>
        <v>Yes</v>
      </c>
      <c r="I473" s="1" t="s">
        <v>1</v>
      </c>
      <c r="J473" s="1" t="str">
        <f>IF(OR(TRIM(I473)="Yes",TRIM(I473)="YES",TRIM(I473)="Y",TRIM(I473)="yes"),"Yes","No")</f>
        <v>Yes</v>
      </c>
      <c r="K473" s="1" t="s">
        <v>15</v>
      </c>
      <c r="L473" s="1" t="str">
        <f>IF(C473="","Yes","No")</f>
        <v>No</v>
      </c>
      <c r="M473" s="1">
        <f>IF(C473="", "", C473 - B473)</f>
        <v>2</v>
      </c>
      <c r="N473" s="3">
        <f>DATE(YEAR(B473),MONTH(B473),1)</f>
        <v>45689</v>
      </c>
      <c r="O473" s="2">
        <f>DATE(YEAR(B473),MONTH(B473),1)</f>
        <v>45689</v>
      </c>
    </row>
    <row r="474" spans="1:15" x14ac:dyDescent="0.2">
      <c r="A474" s="1" t="s">
        <v>49</v>
      </c>
      <c r="B474" s="3">
        <v>45744</v>
      </c>
      <c r="D474" s="1" t="s">
        <v>24</v>
      </c>
      <c r="E474" s="1" t="str">
        <f>UPPER(TRIM(D474))</f>
        <v>BILLING ISSUE</v>
      </c>
      <c r="F474" s="1" t="s">
        <v>21</v>
      </c>
      <c r="H474" s="1" t="str">
        <f>IF(OR(TRIM(G474)="Yes",TRIM(G474)="YES",TRIM(G474)="Y",TRIM(G474)="yes"),"Yes","No")</f>
        <v>No</v>
      </c>
      <c r="I474" s="1" t="s">
        <v>16</v>
      </c>
      <c r="J474" s="1" t="str">
        <f>IF(OR(TRIM(I474)="Yes",TRIM(I474)="YES",TRIM(I474)="Y",TRIM(I474)="yes"),"Yes","No")</f>
        <v>No</v>
      </c>
      <c r="K474" s="1" t="s">
        <v>15</v>
      </c>
      <c r="L474" s="1" t="str">
        <f>IF(C474="","Yes","No")</f>
        <v>Yes</v>
      </c>
      <c r="M474" s="1" t="str">
        <f>IF(C474="", "", C474 - B474)</f>
        <v/>
      </c>
      <c r="N474" s="3">
        <f>DATE(YEAR(B474),MONTH(B474),1)</f>
        <v>45717</v>
      </c>
      <c r="O474" s="2">
        <f>DATE(YEAR(B474),MONTH(B474),1)</f>
        <v>45717</v>
      </c>
    </row>
    <row r="475" spans="1:15" x14ac:dyDescent="0.2">
      <c r="A475" s="1" t="s">
        <v>48</v>
      </c>
      <c r="B475" s="3">
        <v>45631</v>
      </c>
      <c r="C475" s="3">
        <v>45633</v>
      </c>
      <c r="D475" s="1" t="s">
        <v>27</v>
      </c>
      <c r="E475" s="1" t="str">
        <f>UPPER(TRIM(D475))</f>
        <v>SERVICE DELAY</v>
      </c>
      <c r="F475" s="1" t="s">
        <v>6</v>
      </c>
      <c r="G475" s="1" t="s">
        <v>47</v>
      </c>
      <c r="H475" s="1" t="str">
        <f>IF(OR(TRIM(G475)="Yes",TRIM(G475)="YES",TRIM(G475)="Y",TRIM(G475)="yes"),"Yes","No")</f>
        <v>Yes</v>
      </c>
      <c r="I475" s="1" t="s">
        <v>1</v>
      </c>
      <c r="J475" s="1" t="str">
        <f>IF(OR(TRIM(I475)="Yes",TRIM(I475)="YES",TRIM(I475)="Y",TRIM(I475)="yes"),"Yes","No")</f>
        <v>Yes</v>
      </c>
      <c r="K475" s="1" t="s">
        <v>29</v>
      </c>
      <c r="L475" s="1" t="str">
        <f>IF(C475="","Yes","No")</f>
        <v>No</v>
      </c>
      <c r="M475" s="1">
        <f>IF(C475="", "", C475 - B475)</f>
        <v>2</v>
      </c>
      <c r="N475" s="3">
        <f>DATE(YEAR(B475),MONTH(B475),1)</f>
        <v>45627</v>
      </c>
      <c r="O475" s="2">
        <f>DATE(YEAR(B475),MONTH(B475),1)</f>
        <v>45627</v>
      </c>
    </row>
    <row r="476" spans="1:15" x14ac:dyDescent="0.2">
      <c r="A476" s="1" t="s">
        <v>42</v>
      </c>
      <c r="B476" s="3">
        <v>45660</v>
      </c>
      <c r="C476" s="3">
        <v>45668</v>
      </c>
      <c r="D476" s="1" t="s">
        <v>33</v>
      </c>
      <c r="E476" s="1" t="str">
        <f>UPPER(TRIM(D476))</f>
        <v>POLICY UPDATE</v>
      </c>
      <c r="G476" s="1" t="s">
        <v>9</v>
      </c>
      <c r="H476" s="1" t="str">
        <f>IF(OR(TRIM(G476)="Yes",TRIM(G476)="YES",TRIM(G476)="Y",TRIM(G476)="yes"),"Yes","No")</f>
        <v>No</v>
      </c>
      <c r="J476" s="1" t="str">
        <f>IF(OR(TRIM(I476)="Yes",TRIM(I476)="YES",TRIM(I476)="Y",TRIM(I476)="yes"),"Yes","No")</f>
        <v>No</v>
      </c>
      <c r="K476" s="1" t="s">
        <v>29</v>
      </c>
      <c r="L476" s="1" t="str">
        <f>IF(C476="","Yes","No")</f>
        <v>No</v>
      </c>
      <c r="M476" s="1">
        <f>IF(C476="", "", C476 - B476)</f>
        <v>8</v>
      </c>
      <c r="N476" s="3">
        <f>DATE(YEAR(B476),MONTH(B476),1)</f>
        <v>45658</v>
      </c>
      <c r="O476" s="2">
        <f>DATE(YEAR(B476),MONTH(B476),1)</f>
        <v>45658</v>
      </c>
    </row>
    <row r="477" spans="1:15" x14ac:dyDescent="0.2">
      <c r="A477" s="1" t="s">
        <v>46</v>
      </c>
      <c r="B477" s="3">
        <v>45621</v>
      </c>
      <c r="C477" s="3">
        <v>45629</v>
      </c>
      <c r="D477" s="1" t="s">
        <v>3</v>
      </c>
      <c r="E477" s="1" t="str">
        <f>UPPER(TRIM(D477))</f>
        <v>COMMUNICATION DELAY</v>
      </c>
      <c r="F477" s="1" t="s">
        <v>18</v>
      </c>
      <c r="G477" s="1" t="s">
        <v>9</v>
      </c>
      <c r="H477" s="1" t="str">
        <f>IF(OR(TRIM(G477)="Yes",TRIM(G477)="YES",TRIM(G477)="Y",TRIM(G477)="yes"),"Yes","No")</f>
        <v>No</v>
      </c>
      <c r="I477" s="1" t="s">
        <v>1</v>
      </c>
      <c r="J477" s="1" t="str">
        <f>IF(OR(TRIM(I477)="Yes",TRIM(I477)="YES",TRIM(I477)="Y",TRIM(I477)="yes"),"Yes","No")</f>
        <v>Yes</v>
      </c>
      <c r="L477" s="1" t="str">
        <f>IF(C477="","Yes","No")</f>
        <v>No</v>
      </c>
      <c r="M477" s="1">
        <f>IF(C477="", "", C477 - B477)</f>
        <v>8</v>
      </c>
      <c r="N477" s="3">
        <f>DATE(YEAR(B477),MONTH(B477),1)</f>
        <v>45597</v>
      </c>
      <c r="O477" s="2">
        <f>DATE(YEAR(B477),MONTH(B477),1)</f>
        <v>45597</v>
      </c>
    </row>
    <row r="478" spans="1:15" x14ac:dyDescent="0.2">
      <c r="A478" s="1" t="s">
        <v>45</v>
      </c>
      <c r="B478" s="3">
        <v>45706</v>
      </c>
      <c r="C478" s="3">
        <v>45715</v>
      </c>
      <c r="D478" s="1" t="s">
        <v>44</v>
      </c>
      <c r="E478" s="1" t="str">
        <f>UPPER(TRIM(D478))</f>
        <v>COMMUNICATION DELAY</v>
      </c>
      <c r="F478" s="1" t="s">
        <v>18</v>
      </c>
      <c r="G478" s="1" t="s">
        <v>0</v>
      </c>
      <c r="H478" s="1" t="str">
        <f>IF(OR(TRIM(G478)="Yes",TRIM(G478)="YES",TRIM(G478)="Y",TRIM(G478)="yes"),"Yes","No")</f>
        <v>Yes</v>
      </c>
      <c r="I478" s="1" t="s">
        <v>9</v>
      </c>
      <c r="J478" s="1" t="str">
        <f>IF(OR(TRIM(I478)="Yes",TRIM(I478)="YES",TRIM(I478)="Y",TRIM(I478)="yes"),"Yes","No")</f>
        <v>No</v>
      </c>
      <c r="K478" s="1" t="s">
        <v>29</v>
      </c>
      <c r="L478" s="1" t="str">
        <f>IF(C478="","Yes","No")</f>
        <v>No</v>
      </c>
      <c r="M478" s="1">
        <f>IF(C478="", "", C478 - B478)</f>
        <v>9</v>
      </c>
      <c r="N478" s="3">
        <f>DATE(YEAR(B478),MONTH(B478),1)</f>
        <v>45689</v>
      </c>
      <c r="O478" s="2">
        <f>DATE(YEAR(B478),MONTH(B478),1)</f>
        <v>45689</v>
      </c>
    </row>
    <row r="479" spans="1:15" x14ac:dyDescent="0.2">
      <c r="A479" s="1" t="s">
        <v>43</v>
      </c>
      <c r="B479" s="3">
        <v>45684</v>
      </c>
      <c r="C479" s="3">
        <v>45696</v>
      </c>
      <c r="D479" s="1" t="s">
        <v>7</v>
      </c>
      <c r="E479" s="1" t="str">
        <f>UPPER(TRIM(D479))</f>
        <v>BILLING ISSUE</v>
      </c>
      <c r="G479" s="1" t="s">
        <v>0</v>
      </c>
      <c r="H479" s="1" t="str">
        <f>IF(OR(TRIM(G479)="Yes",TRIM(G479)="YES",TRIM(G479)="Y",TRIM(G479)="yes"),"Yes","No")</f>
        <v>Yes</v>
      </c>
      <c r="I479" s="1" t="s">
        <v>1</v>
      </c>
      <c r="J479" s="1" t="str">
        <f>IF(OR(TRIM(I479)="Yes",TRIM(I479)="YES",TRIM(I479)="Y",TRIM(I479)="yes"),"Yes","No")</f>
        <v>Yes</v>
      </c>
      <c r="K479" s="1" t="s">
        <v>29</v>
      </c>
      <c r="L479" s="1" t="str">
        <f>IF(C479="","Yes","No")</f>
        <v>No</v>
      </c>
      <c r="M479" s="1">
        <f>IF(C479="", "", C479 - B479)</f>
        <v>12</v>
      </c>
      <c r="N479" s="3">
        <f>DATE(YEAR(B479),MONTH(B479),1)</f>
        <v>45658</v>
      </c>
      <c r="O479" s="2">
        <f>DATE(YEAR(B479),MONTH(B479),1)</f>
        <v>45658</v>
      </c>
    </row>
    <row r="480" spans="1:15" x14ac:dyDescent="0.2">
      <c r="A480" s="1" t="s">
        <v>42</v>
      </c>
      <c r="B480" s="3">
        <v>45736</v>
      </c>
      <c r="C480" s="3">
        <v>45749</v>
      </c>
      <c r="D480" s="1" t="s">
        <v>22</v>
      </c>
      <c r="E480" s="1" t="str">
        <f>UPPER(TRIM(D480))</f>
        <v>BILLING ISSUE</v>
      </c>
      <c r="F480" s="1" t="s">
        <v>6</v>
      </c>
      <c r="G480" s="1" t="s">
        <v>16</v>
      </c>
      <c r="H480" s="1" t="str">
        <f>IF(OR(TRIM(G480)="Yes",TRIM(G480)="YES",TRIM(G480)="Y",TRIM(G480)="yes"),"Yes","No")</f>
        <v>No</v>
      </c>
      <c r="I480" s="1" t="s">
        <v>0</v>
      </c>
      <c r="J480" s="1" t="str">
        <f>IF(OR(TRIM(I480)="Yes",TRIM(I480)="YES",TRIM(I480)="Y",TRIM(I480)="yes"),"Yes","No")</f>
        <v>Yes</v>
      </c>
      <c r="L480" s="1" t="str">
        <f>IF(C480="","Yes","No")</f>
        <v>No</v>
      </c>
      <c r="M480" s="1">
        <f>IF(C480="", "", C480 - B480)</f>
        <v>13</v>
      </c>
      <c r="N480" s="3">
        <f>DATE(YEAR(B480),MONTH(B480),1)</f>
        <v>45717</v>
      </c>
      <c r="O480" s="2">
        <f>DATE(YEAR(B480),MONTH(B480),1)</f>
        <v>45717</v>
      </c>
    </row>
    <row r="481" spans="1:15" x14ac:dyDescent="0.2">
      <c r="A481" s="1" t="s">
        <v>41</v>
      </c>
      <c r="B481" s="3">
        <v>45614</v>
      </c>
      <c r="C481" s="3">
        <v>45624</v>
      </c>
      <c r="D481" s="1" t="s">
        <v>33</v>
      </c>
      <c r="E481" s="1" t="str">
        <f>UPPER(TRIM(D481))</f>
        <v>POLICY UPDATE</v>
      </c>
      <c r="F481" s="1" t="s">
        <v>2</v>
      </c>
      <c r="G481" s="1" t="s">
        <v>16</v>
      </c>
      <c r="H481" s="1" t="str">
        <f>IF(OR(TRIM(G481)="Yes",TRIM(G481)="YES",TRIM(G481)="Y",TRIM(G481)="yes"),"Yes","No")</f>
        <v>No</v>
      </c>
      <c r="J481" s="1" t="str">
        <f>IF(OR(TRIM(I481)="Yes",TRIM(I481)="YES",TRIM(I481)="Y",TRIM(I481)="yes"),"Yes","No")</f>
        <v>No</v>
      </c>
      <c r="L481" s="1" t="str">
        <f>IF(C481="","Yes","No")</f>
        <v>No</v>
      </c>
      <c r="M481" s="1">
        <f>IF(C481="", "", C481 - B481)</f>
        <v>10</v>
      </c>
      <c r="N481" s="3">
        <f>DATE(YEAR(B481),MONTH(B481),1)</f>
        <v>45597</v>
      </c>
      <c r="O481" s="2">
        <f>DATE(YEAR(B481),MONTH(B481),1)</f>
        <v>45597</v>
      </c>
    </row>
    <row r="482" spans="1:15" x14ac:dyDescent="0.2">
      <c r="A482" s="1" t="s">
        <v>40</v>
      </c>
      <c r="B482" s="3">
        <v>45658</v>
      </c>
      <c r="D482" s="1" t="s">
        <v>24</v>
      </c>
      <c r="E482" s="1" t="str">
        <f>UPPER(TRIM(D482))</f>
        <v>BILLING ISSUE</v>
      </c>
      <c r="G482" s="1" t="s">
        <v>1</v>
      </c>
      <c r="H482" s="1" t="str">
        <f>IF(OR(TRIM(G482)="Yes",TRIM(G482)="YES",TRIM(G482)="Y",TRIM(G482)="yes"),"Yes","No")</f>
        <v>Yes</v>
      </c>
      <c r="I482" s="1" t="s">
        <v>1</v>
      </c>
      <c r="J482" s="1" t="str">
        <f>IF(OR(TRIM(I482)="Yes",TRIM(I482)="YES",TRIM(I482)="Y",TRIM(I482)="yes"),"Yes","No")</f>
        <v>Yes</v>
      </c>
      <c r="K482" s="1" t="s">
        <v>15</v>
      </c>
      <c r="L482" s="1" t="str">
        <f>IF(C482="","Yes","No")</f>
        <v>Yes</v>
      </c>
      <c r="M482" s="1" t="str">
        <f>IF(C482="", "", C482 - B482)</f>
        <v/>
      </c>
      <c r="N482" s="3">
        <f>DATE(YEAR(B482),MONTH(B482),1)</f>
        <v>45658</v>
      </c>
      <c r="O482" s="2">
        <f>DATE(YEAR(B482),MONTH(B482),1)</f>
        <v>45658</v>
      </c>
    </row>
    <row r="483" spans="1:15" x14ac:dyDescent="0.2">
      <c r="A483" s="1" t="s">
        <v>39</v>
      </c>
      <c r="B483" s="3">
        <v>45651</v>
      </c>
      <c r="C483" s="3">
        <v>45669</v>
      </c>
      <c r="D483" s="1" t="s">
        <v>35</v>
      </c>
      <c r="E483" s="1" t="str">
        <f>UPPER(TRIM(D483))</f>
        <v>DOCUMENTATION ERROR</v>
      </c>
      <c r="F483" s="1" t="s">
        <v>21</v>
      </c>
      <c r="G483" s="1" t="s">
        <v>16</v>
      </c>
      <c r="H483" s="1" t="str">
        <f>IF(OR(TRIM(G483)="Yes",TRIM(G483)="YES",TRIM(G483)="Y",TRIM(G483)="yes"),"Yes","No")</f>
        <v>No</v>
      </c>
      <c r="I483" s="1" t="s">
        <v>0</v>
      </c>
      <c r="J483" s="1" t="str">
        <f>IF(OR(TRIM(I483)="Yes",TRIM(I483)="YES",TRIM(I483)="Y",TRIM(I483)="yes"),"Yes","No")</f>
        <v>Yes</v>
      </c>
      <c r="L483" s="1" t="str">
        <f>IF(C483="","Yes","No")</f>
        <v>No</v>
      </c>
      <c r="M483" s="1">
        <f>IF(C483="", "", C483 - B483)</f>
        <v>18</v>
      </c>
      <c r="N483" s="3">
        <f>DATE(YEAR(B483),MONTH(B483),1)</f>
        <v>45627</v>
      </c>
      <c r="O483" s="2">
        <f>DATE(YEAR(B483),MONTH(B483),1)</f>
        <v>45627</v>
      </c>
    </row>
    <row r="484" spans="1:15" x14ac:dyDescent="0.2">
      <c r="A484" s="1" t="s">
        <v>38</v>
      </c>
      <c r="B484" s="3">
        <v>45761</v>
      </c>
      <c r="C484" s="3">
        <v>45770</v>
      </c>
      <c r="D484" s="1" t="s">
        <v>7</v>
      </c>
      <c r="E484" s="1" t="str">
        <f>UPPER(TRIM(D484))</f>
        <v>BILLING ISSUE</v>
      </c>
      <c r="F484" s="1" t="s">
        <v>21</v>
      </c>
      <c r="G484" s="1" t="s">
        <v>12</v>
      </c>
      <c r="H484" s="1" t="str">
        <f>IF(OR(TRIM(G484)="Yes",TRIM(G484)="YES",TRIM(G484)="Y",TRIM(G484)="yes"),"Yes","No")</f>
        <v>No</v>
      </c>
      <c r="J484" s="1" t="str">
        <f>IF(OR(TRIM(I484)="Yes",TRIM(I484)="YES",TRIM(I484)="Y",TRIM(I484)="yes"),"Yes","No")</f>
        <v>No</v>
      </c>
      <c r="L484" s="1" t="str">
        <f>IF(C484="","Yes","No")</f>
        <v>No</v>
      </c>
      <c r="M484" s="1">
        <f>IF(C484="", "", C484 - B484)</f>
        <v>9</v>
      </c>
      <c r="N484" s="3">
        <f>DATE(YEAR(B484),MONTH(B484),1)</f>
        <v>45748</v>
      </c>
      <c r="O484" s="2">
        <f>DATE(YEAR(B484),MONTH(B484),1)</f>
        <v>45748</v>
      </c>
    </row>
    <row r="485" spans="1:15" x14ac:dyDescent="0.2">
      <c r="A485" s="1" t="s">
        <v>37</v>
      </c>
      <c r="B485" s="3">
        <v>45635</v>
      </c>
      <c r="C485" s="3">
        <v>45643</v>
      </c>
      <c r="D485" s="1" t="s">
        <v>27</v>
      </c>
      <c r="E485" s="1" t="str">
        <f>UPPER(TRIM(D485))</f>
        <v>SERVICE DELAY</v>
      </c>
      <c r="F485" s="1" t="s">
        <v>18</v>
      </c>
      <c r="G485" s="1" t="s">
        <v>16</v>
      </c>
      <c r="H485" s="1" t="str">
        <f>IF(OR(TRIM(G485)="Yes",TRIM(G485)="YES",TRIM(G485)="Y",TRIM(G485)="yes"),"Yes","No")</f>
        <v>No</v>
      </c>
      <c r="I485" s="1" t="s">
        <v>9</v>
      </c>
      <c r="J485" s="1" t="str">
        <f>IF(OR(TRIM(I485)="Yes",TRIM(I485)="YES",TRIM(I485)="Y",TRIM(I485)="yes"),"Yes","No")</f>
        <v>No</v>
      </c>
      <c r="L485" s="1" t="str">
        <f>IF(C485="","Yes","No")</f>
        <v>No</v>
      </c>
      <c r="M485" s="1">
        <f>IF(C485="", "", C485 - B485)</f>
        <v>8</v>
      </c>
      <c r="N485" s="3">
        <f>DATE(YEAR(B485),MONTH(B485),1)</f>
        <v>45627</v>
      </c>
      <c r="O485" s="2">
        <f>DATE(YEAR(B485),MONTH(B485),1)</f>
        <v>45627</v>
      </c>
    </row>
    <row r="486" spans="1:15" x14ac:dyDescent="0.2">
      <c r="A486" s="1" t="s">
        <v>36</v>
      </c>
      <c r="B486" s="3">
        <v>45618</v>
      </c>
      <c r="C486" s="3">
        <v>45621</v>
      </c>
      <c r="D486" s="1" t="s">
        <v>35</v>
      </c>
      <c r="E486" s="1" t="str">
        <f>UPPER(TRIM(D486))</f>
        <v>DOCUMENTATION ERROR</v>
      </c>
      <c r="F486" s="1" t="s">
        <v>6</v>
      </c>
      <c r="H486" s="1" t="str">
        <f>IF(OR(TRIM(G486)="Yes",TRIM(G486)="YES",TRIM(G486)="Y",TRIM(G486)="yes"),"Yes","No")</f>
        <v>No</v>
      </c>
      <c r="J486" s="1" t="str">
        <f>IF(OR(TRIM(I486)="Yes",TRIM(I486)="YES",TRIM(I486)="Y",TRIM(I486)="yes"),"Yes","No")</f>
        <v>No</v>
      </c>
      <c r="L486" s="1" t="str">
        <f>IF(C486="","Yes","No")</f>
        <v>No</v>
      </c>
      <c r="M486" s="1">
        <f>IF(C486="", "", C486 - B486)</f>
        <v>3</v>
      </c>
      <c r="N486" s="3">
        <f>DATE(YEAR(B486),MONTH(B486),1)</f>
        <v>45597</v>
      </c>
      <c r="O486" s="2">
        <f>DATE(YEAR(B486),MONTH(B486),1)</f>
        <v>45597</v>
      </c>
    </row>
    <row r="487" spans="1:15" x14ac:dyDescent="0.2">
      <c r="A487" s="1" t="s">
        <v>34</v>
      </c>
      <c r="B487" s="3">
        <v>45619</v>
      </c>
      <c r="C487" s="3">
        <v>45627</v>
      </c>
      <c r="D487" s="1" t="s">
        <v>33</v>
      </c>
      <c r="E487" s="1" t="str">
        <f>UPPER(TRIM(D487))</f>
        <v>POLICY UPDATE</v>
      </c>
      <c r="F487" s="1" t="s">
        <v>2</v>
      </c>
      <c r="G487" s="1" t="s">
        <v>12</v>
      </c>
      <c r="H487" s="1" t="str">
        <f>IF(OR(TRIM(G487)="Yes",TRIM(G487)="YES",TRIM(G487)="Y",TRIM(G487)="yes"),"Yes","No")</f>
        <v>No</v>
      </c>
      <c r="J487" s="1" t="str">
        <f>IF(OR(TRIM(I487)="Yes",TRIM(I487)="YES",TRIM(I487)="Y",TRIM(I487)="yes"),"Yes","No")</f>
        <v>No</v>
      </c>
      <c r="K487" s="1" t="s">
        <v>5</v>
      </c>
      <c r="L487" s="1" t="str">
        <f>IF(C487="","Yes","No")</f>
        <v>No</v>
      </c>
      <c r="M487" s="1">
        <f>IF(C487="", "", C487 - B487)</f>
        <v>8</v>
      </c>
      <c r="N487" s="3">
        <f>DATE(YEAR(B487),MONTH(B487),1)</f>
        <v>45597</v>
      </c>
      <c r="O487" s="2">
        <f>DATE(YEAR(B487),MONTH(B487),1)</f>
        <v>45597</v>
      </c>
    </row>
    <row r="488" spans="1:15" x14ac:dyDescent="0.2">
      <c r="A488" s="1" t="s">
        <v>32</v>
      </c>
      <c r="B488" s="3">
        <v>45591</v>
      </c>
      <c r="C488" s="3">
        <v>45605</v>
      </c>
      <c r="D488" s="1" t="s">
        <v>10</v>
      </c>
      <c r="E488" s="1" t="str">
        <f>UPPER(TRIM(D488))</f>
        <v>POLICY UPDATE</v>
      </c>
      <c r="H488" s="1" t="str">
        <f>IF(OR(TRIM(G488)="Yes",TRIM(G488)="YES",TRIM(G488)="Y",TRIM(G488)="yes"),"Yes","No")</f>
        <v>No</v>
      </c>
      <c r="I488" s="1" t="s">
        <v>0</v>
      </c>
      <c r="J488" s="1" t="str">
        <f>IF(OR(TRIM(I488)="Yes",TRIM(I488)="YES",TRIM(I488)="Y",TRIM(I488)="yes"),"Yes","No")</f>
        <v>Yes</v>
      </c>
      <c r="K488" s="1" t="s">
        <v>15</v>
      </c>
      <c r="L488" s="1" t="str">
        <f>IF(C488="","Yes","No")</f>
        <v>No</v>
      </c>
      <c r="M488" s="1">
        <f>IF(C488="", "", C488 - B488)</f>
        <v>14</v>
      </c>
      <c r="N488" s="3">
        <f>DATE(YEAR(B488),MONTH(B488),1)</f>
        <v>45566</v>
      </c>
      <c r="O488" s="2">
        <f>DATE(YEAR(B488),MONTH(B488),1)</f>
        <v>45566</v>
      </c>
    </row>
    <row r="489" spans="1:15" x14ac:dyDescent="0.2">
      <c r="A489" s="1" t="s">
        <v>31</v>
      </c>
      <c r="B489" s="3">
        <v>45662</v>
      </c>
      <c r="C489" s="3">
        <v>45665</v>
      </c>
      <c r="D489" s="1" t="s">
        <v>22</v>
      </c>
      <c r="E489" s="1" t="str">
        <f>UPPER(TRIM(D489))</f>
        <v>BILLING ISSUE</v>
      </c>
      <c r="G489" s="1" t="s">
        <v>9</v>
      </c>
      <c r="H489" s="1" t="str">
        <f>IF(OR(TRIM(G489)="Yes",TRIM(G489)="YES",TRIM(G489)="Y",TRIM(G489)="yes"),"Yes","No")</f>
        <v>No</v>
      </c>
      <c r="I489" s="1" t="s">
        <v>16</v>
      </c>
      <c r="J489" s="1" t="str">
        <f>IF(OR(TRIM(I489)="Yes",TRIM(I489)="YES",TRIM(I489)="Y",TRIM(I489)="yes"),"Yes","No")</f>
        <v>No</v>
      </c>
      <c r="K489" s="1" t="s">
        <v>15</v>
      </c>
      <c r="L489" s="1" t="str">
        <f>IF(C489="","Yes","No")</f>
        <v>No</v>
      </c>
      <c r="M489" s="1">
        <f>IF(C489="", "", C489 - B489)</f>
        <v>3</v>
      </c>
      <c r="N489" s="3">
        <f>DATE(YEAR(B489),MONTH(B489),1)</f>
        <v>45658</v>
      </c>
      <c r="O489" s="2">
        <f>DATE(YEAR(B489),MONTH(B489),1)</f>
        <v>45658</v>
      </c>
    </row>
    <row r="490" spans="1:15" x14ac:dyDescent="0.2">
      <c r="A490" s="1" t="s">
        <v>30</v>
      </c>
      <c r="B490" s="3">
        <v>45760</v>
      </c>
      <c r="C490" s="3">
        <v>45761</v>
      </c>
      <c r="D490" s="1" t="s">
        <v>24</v>
      </c>
      <c r="E490" s="1" t="str">
        <f>UPPER(TRIM(D490))</f>
        <v>BILLING ISSUE</v>
      </c>
      <c r="F490" s="1" t="s">
        <v>18</v>
      </c>
      <c r="G490" s="1" t="s">
        <v>16</v>
      </c>
      <c r="H490" s="1" t="str">
        <f>IF(OR(TRIM(G490)="Yes",TRIM(G490)="YES",TRIM(G490)="Y",TRIM(G490)="yes"),"Yes","No")</f>
        <v>No</v>
      </c>
      <c r="J490" s="1" t="str">
        <f>IF(OR(TRIM(I490)="Yes",TRIM(I490)="YES",TRIM(I490)="Y",TRIM(I490)="yes"),"Yes","No")</f>
        <v>No</v>
      </c>
      <c r="K490" s="1" t="s">
        <v>29</v>
      </c>
      <c r="L490" s="1" t="str">
        <f>IF(C490="","Yes","No")</f>
        <v>No</v>
      </c>
      <c r="M490" s="1">
        <f>IF(C490="", "", C490 - B490)</f>
        <v>1</v>
      </c>
      <c r="N490" s="3">
        <f>DATE(YEAR(B490),MONTH(B490),1)</f>
        <v>45748</v>
      </c>
      <c r="O490" s="2">
        <f>DATE(YEAR(B490),MONTH(B490),1)</f>
        <v>45748</v>
      </c>
    </row>
    <row r="491" spans="1:15" x14ac:dyDescent="0.2">
      <c r="A491" s="1" t="s">
        <v>28</v>
      </c>
      <c r="B491" s="3">
        <v>45704</v>
      </c>
      <c r="C491" s="3">
        <v>45706</v>
      </c>
      <c r="D491" s="1" t="s">
        <v>27</v>
      </c>
      <c r="E491" s="1" t="str">
        <f>UPPER(TRIM(D491))</f>
        <v>SERVICE DELAY</v>
      </c>
      <c r="F491" s="1" t="s">
        <v>6</v>
      </c>
      <c r="G491" s="1" t="s">
        <v>9</v>
      </c>
      <c r="H491" s="1" t="str">
        <f>IF(OR(TRIM(G491)="Yes",TRIM(G491)="YES",TRIM(G491)="Y",TRIM(G491)="yes"),"Yes","No")</f>
        <v>No</v>
      </c>
      <c r="I491" s="1" t="s">
        <v>1</v>
      </c>
      <c r="J491" s="1" t="str">
        <f>IF(OR(TRIM(I491)="Yes",TRIM(I491)="YES",TRIM(I491)="Y",TRIM(I491)="yes"),"Yes","No")</f>
        <v>Yes</v>
      </c>
      <c r="L491" s="1" t="str">
        <f>IF(C491="","Yes","No")</f>
        <v>No</v>
      </c>
      <c r="M491" s="1">
        <f>IF(C491="", "", C491 - B491)</f>
        <v>2</v>
      </c>
      <c r="N491" s="3">
        <f>DATE(YEAR(B491),MONTH(B491),1)</f>
        <v>45689</v>
      </c>
      <c r="O491" s="2">
        <f>DATE(YEAR(B491),MONTH(B491),1)</f>
        <v>45689</v>
      </c>
    </row>
    <row r="492" spans="1:15" x14ac:dyDescent="0.2">
      <c r="A492" s="1" t="s">
        <v>26</v>
      </c>
      <c r="B492" s="3">
        <v>45758</v>
      </c>
      <c r="C492" s="3">
        <v>45765</v>
      </c>
      <c r="D492" s="1" t="s">
        <v>3</v>
      </c>
      <c r="E492" s="1" t="str">
        <f>UPPER(TRIM(D492))</f>
        <v>COMMUNICATION DELAY</v>
      </c>
      <c r="F492" s="1" t="s">
        <v>2</v>
      </c>
      <c r="G492" s="1" t="s">
        <v>12</v>
      </c>
      <c r="H492" s="1" t="str">
        <f>IF(OR(TRIM(G492)="Yes",TRIM(G492)="YES",TRIM(G492)="Y",TRIM(G492)="yes"),"Yes","No")</f>
        <v>No</v>
      </c>
      <c r="I492" s="1" t="s">
        <v>1</v>
      </c>
      <c r="J492" s="1" t="str">
        <f>IF(OR(TRIM(I492)="Yes",TRIM(I492)="YES",TRIM(I492)="Y",TRIM(I492)="yes"),"Yes","No")</f>
        <v>Yes</v>
      </c>
      <c r="K492" s="1" t="s">
        <v>5</v>
      </c>
      <c r="L492" s="1" t="str">
        <f>IF(C492="","Yes","No")</f>
        <v>No</v>
      </c>
      <c r="M492" s="1">
        <f>IF(C492="", "", C492 - B492)</f>
        <v>7</v>
      </c>
      <c r="N492" s="3">
        <f>DATE(YEAR(B492),MONTH(B492),1)</f>
        <v>45748</v>
      </c>
      <c r="O492" s="2">
        <f>DATE(YEAR(B492),MONTH(B492),1)</f>
        <v>45748</v>
      </c>
    </row>
    <row r="493" spans="1:15" x14ac:dyDescent="0.2">
      <c r="A493" s="1" t="s">
        <v>25</v>
      </c>
      <c r="B493" s="3">
        <v>45708</v>
      </c>
      <c r="C493" s="3">
        <v>45719</v>
      </c>
      <c r="D493" s="1" t="s">
        <v>24</v>
      </c>
      <c r="E493" s="1" t="str">
        <f>UPPER(TRIM(D493))</f>
        <v>BILLING ISSUE</v>
      </c>
      <c r="F493" s="1" t="s">
        <v>18</v>
      </c>
      <c r="G493" s="1" t="s">
        <v>12</v>
      </c>
      <c r="H493" s="1" t="str">
        <f>IF(OR(TRIM(G493)="Yes",TRIM(G493)="YES",TRIM(G493)="Y",TRIM(G493)="yes"),"Yes","No")</f>
        <v>No</v>
      </c>
      <c r="I493" s="1" t="s">
        <v>1</v>
      </c>
      <c r="J493" s="1" t="str">
        <f>IF(OR(TRIM(I493)="Yes",TRIM(I493)="YES",TRIM(I493)="Y",TRIM(I493)="yes"),"Yes","No")</f>
        <v>Yes</v>
      </c>
      <c r="K493" s="1" t="s">
        <v>5</v>
      </c>
      <c r="L493" s="1" t="str">
        <f>IF(C493="","Yes","No")</f>
        <v>No</v>
      </c>
      <c r="M493" s="1">
        <f>IF(C493="", "", C493 - B493)</f>
        <v>11</v>
      </c>
      <c r="N493" s="3">
        <f>DATE(YEAR(B493),MONTH(B493),1)</f>
        <v>45689</v>
      </c>
      <c r="O493" s="2">
        <f>DATE(YEAR(B493),MONTH(B493),1)</f>
        <v>45689</v>
      </c>
    </row>
    <row r="494" spans="1:15" x14ac:dyDescent="0.2">
      <c r="A494" s="1" t="s">
        <v>23</v>
      </c>
      <c r="B494" s="3">
        <v>45743</v>
      </c>
      <c r="D494" s="1" t="s">
        <v>22</v>
      </c>
      <c r="E494" s="1" t="str">
        <f>UPPER(TRIM(D494))</f>
        <v>BILLING ISSUE</v>
      </c>
      <c r="F494" s="1" t="s">
        <v>21</v>
      </c>
      <c r="G494" s="1" t="s">
        <v>16</v>
      </c>
      <c r="H494" s="1" t="str">
        <f>IF(OR(TRIM(G494)="Yes",TRIM(G494)="YES",TRIM(G494)="Y",TRIM(G494)="yes"),"Yes","No")</f>
        <v>No</v>
      </c>
      <c r="I494" s="1" t="s">
        <v>1</v>
      </c>
      <c r="J494" s="1" t="str">
        <f>IF(OR(TRIM(I494)="Yes",TRIM(I494)="YES",TRIM(I494)="Y",TRIM(I494)="yes"),"Yes","No")</f>
        <v>Yes</v>
      </c>
      <c r="L494" s="1" t="str">
        <f>IF(C494="","Yes","No")</f>
        <v>Yes</v>
      </c>
      <c r="M494" s="1" t="str">
        <f>IF(C494="", "", C494 - B494)</f>
        <v/>
      </c>
      <c r="N494" s="3">
        <f>DATE(YEAR(B494),MONTH(B494),1)</f>
        <v>45717</v>
      </c>
      <c r="O494" s="2">
        <f>DATE(YEAR(B494),MONTH(B494),1)</f>
        <v>45717</v>
      </c>
    </row>
    <row r="495" spans="1:15" x14ac:dyDescent="0.2">
      <c r="A495" s="1" t="s">
        <v>20</v>
      </c>
      <c r="B495" s="3">
        <v>45731</v>
      </c>
      <c r="C495" s="3">
        <v>45747</v>
      </c>
      <c r="D495" s="1" t="s">
        <v>19</v>
      </c>
      <c r="E495" s="1" t="str">
        <f>UPPER(TRIM(D495))</f>
        <v>DOC ERROR</v>
      </c>
      <c r="F495" s="1" t="s">
        <v>18</v>
      </c>
      <c r="H495" s="1" t="str">
        <f>IF(OR(TRIM(G495)="Yes",TRIM(G495)="YES",TRIM(G495)="Y",TRIM(G495)="yes"),"Yes","No")</f>
        <v>No</v>
      </c>
      <c r="I495" s="1" t="s">
        <v>0</v>
      </c>
      <c r="J495" s="1" t="str">
        <f>IF(OR(TRIM(I495)="Yes",TRIM(I495)="YES",TRIM(I495)="Y",TRIM(I495)="yes"),"Yes","No")</f>
        <v>Yes</v>
      </c>
      <c r="K495" s="1" t="s">
        <v>15</v>
      </c>
      <c r="L495" s="1" t="str">
        <f>IF(C495="","Yes","No")</f>
        <v>No</v>
      </c>
      <c r="M495" s="1">
        <f>IF(C495="", "", C495 - B495)</f>
        <v>16</v>
      </c>
      <c r="N495" s="3">
        <f>DATE(YEAR(B495),MONTH(B495),1)</f>
        <v>45717</v>
      </c>
      <c r="O495" s="2">
        <f>DATE(YEAR(B495),MONTH(B495),1)</f>
        <v>45717</v>
      </c>
    </row>
    <row r="496" spans="1:15" x14ac:dyDescent="0.2">
      <c r="A496" s="1" t="s">
        <v>17</v>
      </c>
      <c r="B496" s="3">
        <v>45646</v>
      </c>
      <c r="C496" s="3">
        <v>45656</v>
      </c>
      <c r="D496" s="1" t="s">
        <v>3</v>
      </c>
      <c r="E496" s="1" t="str">
        <f>UPPER(TRIM(D496))</f>
        <v>COMMUNICATION DELAY</v>
      </c>
      <c r="G496" s="1" t="s">
        <v>12</v>
      </c>
      <c r="H496" s="1" t="str">
        <f>IF(OR(TRIM(G496)="Yes",TRIM(G496)="YES",TRIM(G496)="Y",TRIM(G496)="yes"),"Yes","No")</f>
        <v>No</v>
      </c>
      <c r="I496" s="1" t="s">
        <v>16</v>
      </c>
      <c r="J496" s="1" t="str">
        <f>IF(OR(TRIM(I496)="Yes",TRIM(I496)="YES",TRIM(I496)="Y",TRIM(I496)="yes"),"Yes","No")</f>
        <v>No</v>
      </c>
      <c r="K496" s="1" t="s">
        <v>15</v>
      </c>
      <c r="L496" s="1" t="str">
        <f>IF(C496="","Yes","No")</f>
        <v>No</v>
      </c>
      <c r="M496" s="1">
        <f>IF(C496="", "", C496 - B496)</f>
        <v>10</v>
      </c>
      <c r="N496" s="3">
        <f>DATE(YEAR(B496),MONTH(B496),1)</f>
        <v>45627</v>
      </c>
      <c r="O496" s="2">
        <f>DATE(YEAR(B496),MONTH(B496),1)</f>
        <v>45627</v>
      </c>
    </row>
    <row r="497" spans="1:15" x14ac:dyDescent="0.2">
      <c r="A497" s="1" t="s">
        <v>14</v>
      </c>
      <c r="B497" s="3">
        <v>45701</v>
      </c>
      <c r="D497" s="1" t="s">
        <v>7</v>
      </c>
      <c r="E497" s="1" t="str">
        <f>UPPER(TRIM(D497))</f>
        <v>BILLING ISSUE</v>
      </c>
      <c r="F497" s="1" t="s">
        <v>2</v>
      </c>
      <c r="G497" s="1" t="s">
        <v>12</v>
      </c>
      <c r="H497" s="1" t="str">
        <f>IF(OR(TRIM(G497)="Yes",TRIM(G497)="YES",TRIM(G497)="Y",TRIM(G497)="yes"),"Yes","No")</f>
        <v>No</v>
      </c>
      <c r="J497" s="1" t="str">
        <f>IF(OR(TRIM(I497)="Yes",TRIM(I497)="YES",TRIM(I497)="Y",TRIM(I497)="yes"),"Yes","No")</f>
        <v>No</v>
      </c>
      <c r="K497" s="1" t="s">
        <v>5</v>
      </c>
      <c r="L497" s="1" t="str">
        <f>IF(C497="","Yes","No")</f>
        <v>Yes</v>
      </c>
      <c r="M497" s="1" t="str">
        <f>IF(C497="", "", C497 - B497)</f>
        <v/>
      </c>
      <c r="N497" s="3">
        <f>DATE(YEAR(B497),MONTH(B497),1)</f>
        <v>45689</v>
      </c>
      <c r="O497" s="2">
        <f>DATE(YEAR(B497),MONTH(B497),1)</f>
        <v>45689</v>
      </c>
    </row>
    <row r="498" spans="1:15" x14ac:dyDescent="0.2">
      <c r="A498" s="1" t="s">
        <v>13</v>
      </c>
      <c r="B498" s="3">
        <v>45636</v>
      </c>
      <c r="C498" s="3">
        <v>45651</v>
      </c>
      <c r="D498" s="1" t="s">
        <v>3</v>
      </c>
      <c r="E498" s="1" t="str">
        <f>UPPER(TRIM(D498))</f>
        <v>COMMUNICATION DELAY</v>
      </c>
      <c r="G498" s="1" t="s">
        <v>12</v>
      </c>
      <c r="H498" s="1" t="str">
        <f>IF(OR(TRIM(G498)="Yes",TRIM(G498)="YES",TRIM(G498)="Y",TRIM(G498)="yes"),"Yes","No")</f>
        <v>No</v>
      </c>
      <c r="J498" s="1" t="str">
        <f>IF(OR(TRIM(I498)="Yes",TRIM(I498)="YES",TRIM(I498)="Y",TRIM(I498)="yes"),"Yes","No")</f>
        <v>No</v>
      </c>
      <c r="L498" s="1" t="str">
        <f>IF(C498="","Yes","No")</f>
        <v>No</v>
      </c>
      <c r="M498" s="1">
        <f>IF(C498="", "", C498 - B498)</f>
        <v>15</v>
      </c>
      <c r="N498" s="3">
        <f>DATE(YEAR(B498),MONTH(B498),1)</f>
        <v>45627</v>
      </c>
      <c r="O498" s="2">
        <f>DATE(YEAR(B498),MONTH(B498),1)</f>
        <v>45627</v>
      </c>
    </row>
    <row r="499" spans="1:15" x14ac:dyDescent="0.2">
      <c r="A499" s="1" t="s">
        <v>11</v>
      </c>
      <c r="B499" s="3">
        <v>45653</v>
      </c>
      <c r="C499" s="3">
        <v>45670</v>
      </c>
      <c r="D499" s="1" t="s">
        <v>10</v>
      </c>
      <c r="E499" s="1" t="str">
        <f>UPPER(TRIM(D499))</f>
        <v>POLICY UPDATE</v>
      </c>
      <c r="G499" s="1" t="s">
        <v>9</v>
      </c>
      <c r="H499" s="1" t="str">
        <f>IF(OR(TRIM(G499)="Yes",TRIM(G499)="YES",TRIM(G499)="Y",TRIM(G499)="yes"),"Yes","No")</f>
        <v>No</v>
      </c>
      <c r="I499" s="1" t="s">
        <v>1</v>
      </c>
      <c r="J499" s="1" t="str">
        <f>IF(OR(TRIM(I499)="Yes",TRIM(I499)="YES",TRIM(I499)="Y",TRIM(I499)="yes"),"Yes","No")</f>
        <v>Yes</v>
      </c>
      <c r="L499" s="1" t="str">
        <f>IF(C499="","Yes","No")</f>
        <v>No</v>
      </c>
      <c r="M499" s="1">
        <f>IF(C499="", "", C499 - B499)</f>
        <v>17</v>
      </c>
      <c r="N499" s="3">
        <f>DATE(YEAR(B499),MONTH(B499),1)</f>
        <v>45627</v>
      </c>
      <c r="O499" s="2">
        <f>DATE(YEAR(B499),MONTH(B499),1)</f>
        <v>45627</v>
      </c>
    </row>
    <row r="500" spans="1:15" x14ac:dyDescent="0.2">
      <c r="A500" s="1" t="s">
        <v>8</v>
      </c>
      <c r="B500" s="3">
        <v>45609</v>
      </c>
      <c r="C500" s="3">
        <v>45613</v>
      </c>
      <c r="D500" s="1" t="s">
        <v>7</v>
      </c>
      <c r="E500" s="1" t="str">
        <f>UPPER(TRIM(D500))</f>
        <v>BILLING ISSUE</v>
      </c>
      <c r="F500" s="1" t="s">
        <v>6</v>
      </c>
      <c r="G500" s="1" t="s">
        <v>1</v>
      </c>
      <c r="H500" s="1" t="str">
        <f>IF(OR(TRIM(G500)="Yes",TRIM(G500)="YES",TRIM(G500)="Y",TRIM(G500)="yes"),"Yes","No")</f>
        <v>Yes</v>
      </c>
      <c r="J500" s="1" t="str">
        <f>IF(OR(TRIM(I500)="Yes",TRIM(I500)="YES",TRIM(I500)="Y",TRIM(I500)="yes"),"Yes","No")</f>
        <v>No</v>
      </c>
      <c r="K500" s="1" t="s">
        <v>5</v>
      </c>
      <c r="L500" s="1" t="str">
        <f>IF(C500="","Yes","No")</f>
        <v>No</v>
      </c>
      <c r="M500" s="1">
        <f>IF(C500="", "", C500 - B500)</f>
        <v>4</v>
      </c>
      <c r="N500" s="3">
        <f>DATE(YEAR(B500),MONTH(B500),1)</f>
        <v>45597</v>
      </c>
      <c r="O500" s="2">
        <f>DATE(YEAR(B500),MONTH(B500),1)</f>
        <v>45597</v>
      </c>
    </row>
    <row r="501" spans="1:15" x14ac:dyDescent="0.2">
      <c r="A501" s="1" t="s">
        <v>4</v>
      </c>
      <c r="B501" s="3">
        <v>45666</v>
      </c>
      <c r="C501" s="3">
        <v>45683</v>
      </c>
      <c r="D501" s="1" t="s">
        <v>3</v>
      </c>
      <c r="E501" s="1" t="str">
        <f>UPPER(TRIM(D501))</f>
        <v>COMMUNICATION DELAY</v>
      </c>
      <c r="F501" s="1" t="s">
        <v>2</v>
      </c>
      <c r="G501" s="1" t="s">
        <v>1</v>
      </c>
      <c r="H501" s="1" t="str">
        <f>IF(OR(TRIM(G501)="Yes",TRIM(G501)="YES",TRIM(G501)="Y",TRIM(G501)="yes"),"Yes","No")</f>
        <v>Yes</v>
      </c>
      <c r="I501" s="1" t="s">
        <v>0</v>
      </c>
      <c r="J501" s="1" t="str">
        <f>IF(OR(TRIM(I501)="Yes",TRIM(I501)="YES",TRIM(I501)="Y",TRIM(I501)="yes"),"Yes","No")</f>
        <v>Yes</v>
      </c>
      <c r="L501" s="1" t="str">
        <f>IF(C501="","Yes","No")</f>
        <v>No</v>
      </c>
      <c r="M501" s="1">
        <f>IF(C501="", "", C501 - B501)</f>
        <v>17</v>
      </c>
      <c r="N501" s="3">
        <f>DATE(YEAR(B501),MONTH(B501),1)</f>
        <v>45658</v>
      </c>
      <c r="O501" s="2">
        <f>DATE(YEAR(B501),MONTH(B501),1)</f>
        <v>45658</v>
      </c>
    </row>
  </sheetData>
  <autoFilter ref="A1:O1" xr:uid="{42B8F0AB-2C87-DD44-B239-54C0645880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Surve</dc:creator>
  <cp:lastModifiedBy>Amar Surve</cp:lastModifiedBy>
  <dcterms:created xsi:type="dcterms:W3CDTF">2026-01-12T13:41:46Z</dcterms:created>
  <dcterms:modified xsi:type="dcterms:W3CDTF">2026-01-12T13:41:59Z</dcterms:modified>
</cp:coreProperties>
</file>